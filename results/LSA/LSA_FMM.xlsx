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khoshne1_msu_edu/Documents/PhD/Research/2-SensitivityAnalysis/LSA/FMM-FMG/PostProcessing/"/>
    </mc:Choice>
  </mc:AlternateContent>
  <xr:revisionPtr revIDLastSave="1906" documentId="13_ncr:1_{3E9160A4-339C-EB45-BF2A-7D5CE8667DCF}" xr6:coauthVersionLast="47" xr6:coauthVersionMax="47" xr10:uidLastSave="{73B01A56-0758-B645-862C-C2D6A3E03831}"/>
  <bookViews>
    <workbookView xWindow="-20" yWindow="660" windowWidth="30240" windowHeight="18980" xr2:uid="{2B153E34-0161-5541-A84A-F5872730D56D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6" i="3" l="1"/>
  <c r="AB46" i="3"/>
  <c r="AA46" i="3"/>
  <c r="Z46" i="3"/>
  <c r="Y46" i="3"/>
  <c r="X46" i="3"/>
  <c r="W46" i="3"/>
  <c r="AC45" i="3"/>
  <c r="AB45" i="3"/>
  <c r="AA45" i="3"/>
  <c r="Z45" i="3"/>
  <c r="Y45" i="3"/>
  <c r="X45" i="3"/>
  <c r="W45" i="3"/>
  <c r="AC39" i="3"/>
  <c r="AB39" i="3"/>
  <c r="AA39" i="3"/>
  <c r="Z39" i="3"/>
  <c r="Y39" i="3"/>
  <c r="X39" i="3"/>
  <c r="W39" i="3"/>
  <c r="AC38" i="3"/>
  <c r="AB38" i="3"/>
  <c r="AA38" i="3"/>
  <c r="Z38" i="3"/>
  <c r="Y38" i="3"/>
  <c r="X38" i="3"/>
  <c r="W38" i="3"/>
  <c r="AC32" i="3"/>
  <c r="AB32" i="3"/>
  <c r="AA32" i="3"/>
  <c r="Z32" i="3"/>
  <c r="Y32" i="3"/>
  <c r="X32" i="3"/>
  <c r="W32" i="3"/>
  <c r="AC31" i="3"/>
  <c r="AB31" i="3"/>
  <c r="AA31" i="3"/>
  <c r="Z31" i="3"/>
  <c r="Y31" i="3"/>
  <c r="X31" i="3"/>
  <c r="W31" i="3"/>
  <c r="AC23" i="3"/>
  <c r="AB23" i="3"/>
  <c r="AA23" i="3"/>
  <c r="Z23" i="3"/>
  <c r="Y23" i="3"/>
  <c r="X23" i="3"/>
  <c r="W23" i="3"/>
  <c r="AC22" i="3"/>
  <c r="AB22" i="3"/>
  <c r="AA22" i="3"/>
  <c r="Z22" i="3"/>
  <c r="Y22" i="3"/>
  <c r="X22" i="3"/>
  <c r="W22" i="3"/>
  <c r="AC16" i="3"/>
  <c r="AB16" i="3"/>
  <c r="AA16" i="3"/>
  <c r="Z16" i="3"/>
  <c r="Y16" i="3"/>
  <c r="X16" i="3"/>
  <c r="W16" i="3"/>
  <c r="AC15" i="3"/>
  <c r="AB15" i="3"/>
  <c r="AA15" i="3"/>
  <c r="Z15" i="3"/>
  <c r="Y15" i="3"/>
  <c r="X15" i="3"/>
  <c r="W15" i="3"/>
  <c r="AC9" i="3"/>
  <c r="AB9" i="3"/>
  <c r="AA9" i="3"/>
  <c r="Z9" i="3"/>
  <c r="Y9" i="3"/>
  <c r="X9" i="3"/>
  <c r="W9" i="3"/>
  <c r="AC8" i="3"/>
  <c r="AB8" i="3"/>
  <c r="AA8" i="3"/>
  <c r="Z8" i="3"/>
  <c r="Y8" i="3"/>
  <c r="X8" i="3"/>
  <c r="W8" i="3"/>
  <c r="S46" i="3"/>
  <c r="R46" i="3"/>
  <c r="Q46" i="3"/>
  <c r="P46" i="3"/>
  <c r="O46" i="3"/>
  <c r="N46" i="3"/>
  <c r="M46" i="3"/>
  <c r="S45" i="3"/>
  <c r="R45" i="3"/>
  <c r="Q45" i="3"/>
  <c r="P45" i="3"/>
  <c r="O45" i="3"/>
  <c r="N45" i="3"/>
  <c r="M45" i="3"/>
  <c r="S39" i="3"/>
  <c r="R39" i="3"/>
  <c r="Q39" i="3"/>
  <c r="P39" i="3"/>
  <c r="O39" i="3"/>
  <c r="N39" i="3"/>
  <c r="M39" i="3"/>
  <c r="S38" i="3"/>
  <c r="R38" i="3"/>
  <c r="Q38" i="3"/>
  <c r="P38" i="3"/>
  <c r="O38" i="3"/>
  <c r="N38" i="3"/>
  <c r="M38" i="3"/>
  <c r="S32" i="3"/>
  <c r="R32" i="3"/>
  <c r="Q32" i="3"/>
  <c r="P32" i="3"/>
  <c r="O32" i="3"/>
  <c r="N32" i="3"/>
  <c r="M32" i="3"/>
  <c r="S31" i="3"/>
  <c r="R31" i="3"/>
  <c r="Q31" i="3"/>
  <c r="P31" i="3"/>
  <c r="O31" i="3"/>
  <c r="N31" i="3"/>
  <c r="M31" i="3"/>
  <c r="I46" i="3"/>
  <c r="H46" i="3"/>
  <c r="G46" i="3"/>
  <c r="F46" i="3"/>
  <c r="E46" i="3"/>
  <c r="D46" i="3"/>
  <c r="C46" i="3"/>
  <c r="I45" i="3"/>
  <c r="H45" i="3"/>
  <c r="G45" i="3"/>
  <c r="F45" i="3"/>
  <c r="E45" i="3"/>
  <c r="D45" i="3"/>
  <c r="C45" i="3"/>
  <c r="I39" i="3"/>
  <c r="H39" i="3"/>
  <c r="G39" i="3"/>
  <c r="F39" i="3"/>
  <c r="E39" i="3"/>
  <c r="D39" i="3"/>
  <c r="C39" i="3"/>
  <c r="I38" i="3"/>
  <c r="H38" i="3"/>
  <c r="G38" i="3"/>
  <c r="F38" i="3"/>
  <c r="E38" i="3"/>
  <c r="D38" i="3"/>
  <c r="C38" i="3"/>
  <c r="I32" i="3"/>
  <c r="H32" i="3"/>
  <c r="G32" i="3"/>
  <c r="F32" i="3"/>
  <c r="E32" i="3"/>
  <c r="D32" i="3"/>
  <c r="C32" i="3"/>
  <c r="I31" i="3"/>
  <c r="H31" i="3"/>
  <c r="G31" i="3"/>
  <c r="F31" i="3"/>
  <c r="E31" i="3"/>
  <c r="D31" i="3"/>
  <c r="C31" i="3"/>
  <c r="S23" i="3"/>
  <c r="R23" i="3"/>
  <c r="Q23" i="3"/>
  <c r="P23" i="3"/>
  <c r="O23" i="3"/>
  <c r="N23" i="3"/>
  <c r="M23" i="3"/>
  <c r="S22" i="3"/>
  <c r="R22" i="3"/>
  <c r="Q22" i="3"/>
  <c r="P22" i="3"/>
  <c r="O22" i="3"/>
  <c r="N22" i="3"/>
  <c r="M22" i="3"/>
  <c r="S16" i="3"/>
  <c r="R16" i="3"/>
  <c r="Q16" i="3"/>
  <c r="P16" i="3"/>
  <c r="O16" i="3"/>
  <c r="N16" i="3"/>
  <c r="M16" i="3"/>
  <c r="S15" i="3"/>
  <c r="R15" i="3"/>
  <c r="Q15" i="3"/>
  <c r="P15" i="3"/>
  <c r="O15" i="3"/>
  <c r="N15" i="3"/>
  <c r="M15" i="3"/>
  <c r="S9" i="3"/>
  <c r="R9" i="3"/>
  <c r="Q9" i="3"/>
  <c r="P9" i="3"/>
  <c r="O9" i="3"/>
  <c r="N9" i="3"/>
  <c r="M9" i="3"/>
  <c r="S8" i="3"/>
  <c r="R8" i="3"/>
  <c r="Q8" i="3"/>
  <c r="P8" i="3"/>
  <c r="O8" i="3"/>
  <c r="N8" i="3"/>
  <c r="M8" i="3"/>
  <c r="I23" i="3"/>
  <c r="H23" i="3"/>
  <c r="G23" i="3"/>
  <c r="F23" i="3"/>
  <c r="E23" i="3"/>
  <c r="D23" i="3"/>
  <c r="C23" i="3"/>
  <c r="I22" i="3"/>
  <c r="H22" i="3"/>
  <c r="G22" i="3"/>
  <c r="F22" i="3"/>
  <c r="E22" i="3"/>
  <c r="D22" i="3"/>
  <c r="C22" i="3"/>
  <c r="I16" i="3"/>
  <c r="H16" i="3"/>
  <c r="G16" i="3"/>
  <c r="F16" i="3"/>
  <c r="E16" i="3"/>
  <c r="D16" i="3"/>
  <c r="C16" i="3"/>
  <c r="I15" i="3"/>
  <c r="H15" i="3"/>
  <c r="G15" i="3"/>
  <c r="F15" i="3"/>
  <c r="E15" i="3"/>
  <c r="D15" i="3"/>
  <c r="C15" i="3"/>
  <c r="I9" i="3"/>
  <c r="D9" i="3"/>
  <c r="E9" i="3"/>
  <c r="F9" i="3"/>
  <c r="G9" i="3"/>
  <c r="H9" i="3"/>
  <c r="C9" i="3"/>
  <c r="D8" i="3"/>
  <c r="E8" i="3"/>
  <c r="F8" i="3"/>
  <c r="G8" i="3"/>
  <c r="H8" i="3"/>
  <c r="I8" i="3"/>
  <c r="C8" i="3"/>
</calcChain>
</file>

<file path=xl/sharedStrings.xml><?xml version="1.0" encoding="utf-8"?>
<sst xmlns="http://schemas.openxmlformats.org/spreadsheetml/2006/main" count="222" uniqueCount="20">
  <si>
    <t>20HS</t>
  </si>
  <si>
    <t>tauc1</t>
  </si>
  <si>
    <t>alpha1</t>
  </si>
  <si>
    <t>beta1</t>
  </si>
  <si>
    <t>tauc2</t>
  </si>
  <si>
    <t>alpha2</t>
  </si>
  <si>
    <t>HS</t>
  </si>
  <si>
    <t>GnP</t>
  </si>
  <si>
    <t>30HS</t>
  </si>
  <si>
    <t>40HS</t>
  </si>
  <si>
    <t>L1-norm LSI - Storage Module</t>
  </si>
  <si>
    <t>L1-norm LSI - Loss Module</t>
  </si>
  <si>
    <t>L2-norm LSI - Storage Module</t>
  </si>
  <si>
    <t>L2-norm LSI - Loss Module</t>
  </si>
  <si>
    <t>Ec1</t>
  </si>
  <si>
    <t>Ec2</t>
  </si>
  <si>
    <t>mean</t>
  </si>
  <si>
    <t>std</t>
  </si>
  <si>
    <t>L1-norm LSI - Complex Module</t>
  </si>
  <si>
    <t>L2-norm LSI - Complex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</si>
</sst>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7030A0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B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38804-1ACA-8A41-B648-772F6EEFD855}">
  <dimension ref="A2:AC46"/>
  <sheetViews>
    <sheetView tabSelected="1" topLeftCell="R20" zoomScale="155" workbookViewId="0">
      <selection activeCell="V32" sqref="V32"/>
    </sheetView>
  </sheetViews>
  <sheetFormatPr baseColWidth="10" defaultRowHeight="16" x14ac:dyDescent="0.2"/>
  <cols>
    <col min="1" max="1" width="10.83203125" style="6"/>
    <col min="2" max="2" width="12.33203125" style="6" bestFit="1" customWidth="1"/>
    <col min="3" max="3" width="11" style="6" customWidth="1"/>
    <col min="4" max="4" width="10.83203125" style="6" customWidth="1"/>
    <col min="5" max="16384" width="10.83203125" style="6"/>
  </cols>
  <sheetData>
    <row r="2" spans="1:29" x14ac:dyDescent="0.2">
      <c r="A2" s="14" t="s">
        <v>10</v>
      </c>
      <c r="B2" s="14"/>
      <c r="C2" s="14"/>
      <c r="D2" s="14"/>
      <c r="E2" s="14"/>
      <c r="F2" s="14"/>
      <c r="G2" s="14"/>
      <c r="H2" s="14"/>
      <c r="I2" s="14"/>
      <c r="J2" s="11"/>
      <c r="K2" s="14" t="s">
        <v>11</v>
      </c>
      <c r="L2" s="14"/>
      <c r="M2" s="14"/>
      <c r="N2" s="14"/>
      <c r="O2" s="14"/>
      <c r="P2" s="14"/>
      <c r="Q2" s="14"/>
      <c r="R2" s="14"/>
      <c r="S2" s="14"/>
      <c r="U2" s="14" t="s">
        <v>18</v>
      </c>
      <c r="V2" s="14"/>
      <c r="W2" s="14"/>
      <c r="X2" s="14"/>
      <c r="Y2" s="14"/>
      <c r="Z2" s="14"/>
      <c r="AA2" s="14"/>
      <c r="AB2" s="14"/>
      <c r="AC2" s="14"/>
    </row>
    <row r="3" spans="1:29" x14ac:dyDescent="0.2">
      <c r="A3" s="11" t="s">
        <v>6</v>
      </c>
      <c r="B3" s="12" t="s">
        <v>7</v>
      </c>
      <c r="C3" s="12" t="s">
        <v>14</v>
      </c>
      <c r="D3" s="12" t="s">
        <v>1</v>
      </c>
      <c r="E3" s="12" t="s">
        <v>2</v>
      </c>
      <c r="F3" s="12" t="s">
        <v>3</v>
      </c>
      <c r="G3" s="12" t="s">
        <v>15</v>
      </c>
      <c r="H3" s="12" t="s">
        <v>4</v>
      </c>
      <c r="I3" s="12" t="s">
        <v>5</v>
      </c>
      <c r="J3" s="11"/>
      <c r="K3" s="11" t="s">
        <v>6</v>
      </c>
      <c r="L3" s="12" t="s">
        <v>7</v>
      </c>
      <c r="M3" s="12" t="s">
        <v>14</v>
      </c>
      <c r="N3" s="12" t="s">
        <v>1</v>
      </c>
      <c r="O3" s="12" t="s">
        <v>2</v>
      </c>
      <c r="P3" s="12" t="s">
        <v>3</v>
      </c>
      <c r="Q3" s="12" t="s">
        <v>15</v>
      </c>
      <c r="R3" s="12" t="s">
        <v>4</v>
      </c>
      <c r="S3" s="12" t="s">
        <v>5</v>
      </c>
      <c r="U3" s="11" t="s">
        <v>6</v>
      </c>
      <c r="V3" s="12" t="s">
        <v>7</v>
      </c>
      <c r="W3" s="12" t="s">
        <v>14</v>
      </c>
      <c r="X3" s="12" t="s">
        <v>1</v>
      </c>
      <c r="Y3" s="12" t="s">
        <v>2</v>
      </c>
      <c r="Z3" s="12" t="s">
        <v>3</v>
      </c>
      <c r="AA3" s="12" t="s">
        <v>15</v>
      </c>
      <c r="AB3" s="12" t="s">
        <v>4</v>
      </c>
      <c r="AC3" s="12" t="s">
        <v>5</v>
      </c>
    </row>
    <row r="4" spans="1:29" x14ac:dyDescent="0.2">
      <c r="A4" s="14" t="s">
        <v>0</v>
      </c>
      <c r="B4" s="7">
        <v>0</v>
      </c>
      <c r="C4" s="7">
        <v>12.1677520721004</v>
      </c>
      <c r="D4" s="7">
        <v>4.2305333407904504</v>
      </c>
      <c r="E4" s="7">
        <v>24.023137220796499</v>
      </c>
      <c r="F4" s="7">
        <v>0.19724581844809899</v>
      </c>
      <c r="G4" s="7">
        <v>10.858098857840099</v>
      </c>
      <c r="H4" s="7">
        <v>0.89077877333843802</v>
      </c>
      <c r="I4" s="7">
        <v>10.230090328918701</v>
      </c>
      <c r="J4" s="11"/>
      <c r="K4" s="14" t="s">
        <v>0</v>
      </c>
      <c r="L4" s="7">
        <v>0</v>
      </c>
      <c r="M4" s="7">
        <v>17.111725976322798</v>
      </c>
      <c r="N4" s="7">
        <v>5.9930737355053001</v>
      </c>
      <c r="O4" s="7">
        <v>35.818901426037201</v>
      </c>
      <c r="P4" s="7">
        <v>0.95703556132186596</v>
      </c>
      <c r="Q4" s="7">
        <v>5.9141249536176304</v>
      </c>
      <c r="R4" s="7">
        <v>0.38105058936918701</v>
      </c>
      <c r="S4" s="7">
        <v>1.58970715458538</v>
      </c>
      <c r="U4" s="14" t="s">
        <v>0</v>
      </c>
      <c r="V4" s="7">
        <v>0</v>
      </c>
      <c r="W4" s="7">
        <v>13.056148969871</v>
      </c>
      <c r="X4" s="7">
        <v>4.4896676190751696</v>
      </c>
      <c r="Y4" s="7">
        <v>24.845056135885201</v>
      </c>
      <c r="Z4" s="7">
        <v>0.28865988599141101</v>
      </c>
      <c r="AA4" s="7">
        <v>10.4411724777238</v>
      </c>
      <c r="AB4" s="7">
        <v>0.858493329845475</v>
      </c>
      <c r="AC4" s="7">
        <v>9.9939267572707404</v>
      </c>
    </row>
    <row r="5" spans="1:29" x14ac:dyDescent="0.2">
      <c r="A5" s="14"/>
      <c r="B5" s="8">
        <v>0.5</v>
      </c>
      <c r="C5" s="8">
        <v>12.520984747975101</v>
      </c>
      <c r="D5" s="8">
        <v>4.3557642531097303</v>
      </c>
      <c r="E5" s="8">
        <v>25.0891293669088</v>
      </c>
      <c r="F5" s="8">
        <v>0.1577408238993</v>
      </c>
      <c r="G5" s="8">
        <v>10.504866181965401</v>
      </c>
      <c r="H5" s="8">
        <v>0.717196969412218</v>
      </c>
      <c r="I5" s="8">
        <v>8.1944377292453794</v>
      </c>
      <c r="J5" s="11"/>
      <c r="K5" s="14"/>
      <c r="L5" s="8">
        <v>0.5</v>
      </c>
      <c r="M5" s="8">
        <v>17.6972833694158</v>
      </c>
      <c r="N5" s="8">
        <v>6.3799935997099304</v>
      </c>
      <c r="O5" s="8">
        <v>38.609803710266199</v>
      </c>
      <c r="P5" s="8">
        <v>0.79313135866573103</v>
      </c>
      <c r="Q5" s="8">
        <v>5.3285675605247</v>
      </c>
      <c r="R5" s="8">
        <v>0.270481850646071</v>
      </c>
      <c r="S5" s="8">
        <v>1.68719875810616</v>
      </c>
      <c r="U5" s="14"/>
      <c r="V5" s="8">
        <v>0.5</v>
      </c>
      <c r="W5" s="8">
        <v>13.420953944586801</v>
      </c>
      <c r="X5" s="8">
        <v>4.6267892504609298</v>
      </c>
      <c r="Y5" s="8">
        <v>25.856432863911301</v>
      </c>
      <c r="Z5" s="8">
        <v>0.227673077676562</v>
      </c>
      <c r="AA5" s="8">
        <v>10.098403470847201</v>
      </c>
      <c r="AB5" s="8">
        <v>0.69155176836141097</v>
      </c>
      <c r="AC5" s="8">
        <v>8.0284986415927495</v>
      </c>
    </row>
    <row r="6" spans="1:29" x14ac:dyDescent="0.2">
      <c r="A6" s="14"/>
      <c r="B6" s="7">
        <v>1</v>
      </c>
      <c r="C6" s="7">
        <v>12.057508189246199</v>
      </c>
      <c r="D6" s="7">
        <v>3.6241105082865599</v>
      </c>
      <c r="E6" s="7">
        <v>19.103137945413099</v>
      </c>
      <c r="F6" s="7">
        <v>0.309722096160988</v>
      </c>
      <c r="G6" s="7">
        <v>10.9683427406943</v>
      </c>
      <c r="H6" s="7">
        <v>0.95368713951067197</v>
      </c>
      <c r="I6" s="7">
        <v>10.2880334471149</v>
      </c>
      <c r="J6" s="11"/>
      <c r="K6" s="14"/>
      <c r="L6" s="7">
        <v>1</v>
      </c>
      <c r="M6" s="7">
        <v>16.969926548034799</v>
      </c>
      <c r="N6" s="7">
        <v>5.3606446688489298</v>
      </c>
      <c r="O6" s="7">
        <v>29.512209568350599</v>
      </c>
      <c r="P6" s="7">
        <v>1.49163202516242</v>
      </c>
      <c r="Q6" s="7">
        <v>6.0559243819057098</v>
      </c>
      <c r="R6" s="7">
        <v>0.41452018410585001</v>
      </c>
      <c r="S6" s="7">
        <v>1.81212682309641</v>
      </c>
      <c r="U6" s="14"/>
      <c r="V6" s="7">
        <v>1</v>
      </c>
      <c r="W6" s="7">
        <v>12.842061019552901</v>
      </c>
      <c r="X6" s="7">
        <v>3.8470283591536698</v>
      </c>
      <c r="Y6" s="7">
        <v>19.99211867212</v>
      </c>
      <c r="Z6" s="7">
        <v>0.41625628736360498</v>
      </c>
      <c r="AA6" s="7">
        <v>10.5954747845086</v>
      </c>
      <c r="AB6" s="7">
        <v>0.92206379347855005</v>
      </c>
      <c r="AC6" s="7">
        <v>10.0693145066251</v>
      </c>
    </row>
    <row r="7" spans="1:29" x14ac:dyDescent="0.2">
      <c r="A7" s="14"/>
      <c r="B7" s="8">
        <v>1.5</v>
      </c>
      <c r="C7" s="8">
        <v>12.1677520721004</v>
      </c>
      <c r="D7" s="8">
        <v>4.2305333407904504</v>
      </c>
      <c r="E7" s="8">
        <v>24.023137220796499</v>
      </c>
      <c r="F7" s="8">
        <v>0.19724581844809899</v>
      </c>
      <c r="G7" s="8">
        <v>10.858098857840099</v>
      </c>
      <c r="H7" s="8">
        <v>0.89077877333843802</v>
      </c>
      <c r="I7" s="8">
        <v>10.230090328918701</v>
      </c>
      <c r="J7" s="11"/>
      <c r="K7" s="14"/>
      <c r="L7" s="8">
        <v>1.5</v>
      </c>
      <c r="M7" s="8">
        <v>17.111725976322798</v>
      </c>
      <c r="N7" s="8">
        <v>5.9930737355053001</v>
      </c>
      <c r="O7" s="8">
        <v>35.818901426037201</v>
      </c>
      <c r="P7" s="8">
        <v>0.95703556132186596</v>
      </c>
      <c r="Q7" s="8">
        <v>5.9141249536176304</v>
      </c>
      <c r="R7" s="8">
        <v>0.38105058936918701</v>
      </c>
      <c r="S7" s="8">
        <v>1.58970715458538</v>
      </c>
      <c r="U7" s="14"/>
      <c r="V7" s="8">
        <v>1.5</v>
      </c>
      <c r="W7" s="8">
        <v>12.951956679603899</v>
      </c>
      <c r="X7" s="8">
        <v>4.3711906631036799</v>
      </c>
      <c r="Y7" s="8">
        <v>24.287086926206801</v>
      </c>
      <c r="Z7" s="8">
        <v>0.29669639049088598</v>
      </c>
      <c r="AA7" s="8">
        <v>10.5315628810772</v>
      </c>
      <c r="AB7" s="8">
        <v>0.82342474147472899</v>
      </c>
      <c r="AC7" s="8">
        <v>9.6358594531774404</v>
      </c>
    </row>
    <row r="8" spans="1:29" x14ac:dyDescent="0.2">
      <c r="A8" s="11"/>
      <c r="B8" s="11" t="s">
        <v>16</v>
      </c>
      <c r="C8" s="15">
        <f>AVERAGE(C4:C7)</f>
        <v>12.228499270355524</v>
      </c>
      <c r="D8" s="15">
        <f t="shared" ref="D8:I8" si="0">AVERAGE(D4:D7)</f>
        <v>4.1102353607442979</v>
      </c>
      <c r="E8" s="15">
        <f t="shared" si="0"/>
        <v>23.059635438478725</v>
      </c>
      <c r="F8" s="15">
        <f t="shared" si="0"/>
        <v>0.21548863923912148</v>
      </c>
      <c r="G8" s="15">
        <f t="shared" si="0"/>
        <v>10.797351659584974</v>
      </c>
      <c r="H8" s="15">
        <f t="shared" si="0"/>
        <v>0.86311041389994148</v>
      </c>
      <c r="I8" s="15">
        <f t="shared" si="0"/>
        <v>9.735662958549419</v>
      </c>
      <c r="J8" s="15"/>
      <c r="K8" s="15"/>
      <c r="L8" s="15" t="s">
        <v>16</v>
      </c>
      <c r="M8" s="15">
        <f>AVERAGE(M4:M7)</f>
        <v>17.222665467524049</v>
      </c>
      <c r="N8" s="15">
        <f t="shared" ref="N8:S8" si="1">AVERAGE(N4:N7)</f>
        <v>5.9316964348923644</v>
      </c>
      <c r="O8" s="15">
        <f t="shared" si="1"/>
        <v>34.939954032672802</v>
      </c>
      <c r="P8" s="15">
        <f t="shared" si="1"/>
        <v>1.0497086266179707</v>
      </c>
      <c r="Q8" s="15">
        <f t="shared" si="1"/>
        <v>5.8031854624164172</v>
      </c>
      <c r="R8" s="15">
        <f t="shared" si="1"/>
        <v>0.36177580337257376</v>
      </c>
      <c r="S8" s="15">
        <f t="shared" si="1"/>
        <v>1.6696849725933325</v>
      </c>
      <c r="U8" s="11"/>
      <c r="V8" s="11" t="s">
        <v>16</v>
      </c>
      <c r="W8" s="15">
        <f>AVERAGE(W4:W7)</f>
        <v>13.06778015340365</v>
      </c>
      <c r="X8" s="15">
        <f t="shared" ref="X8:AC8" si="2">AVERAGE(X4:X7)</f>
        <v>4.3336689729483622</v>
      </c>
      <c r="Y8" s="15">
        <f t="shared" si="2"/>
        <v>23.745173649530827</v>
      </c>
      <c r="Z8" s="15">
        <f t="shared" si="2"/>
        <v>0.307321410380616</v>
      </c>
      <c r="AA8" s="15">
        <f t="shared" si="2"/>
        <v>10.4166534035392</v>
      </c>
      <c r="AB8" s="15">
        <f t="shared" si="2"/>
        <v>0.82388340829004125</v>
      </c>
      <c r="AC8" s="15">
        <f t="shared" si="2"/>
        <v>9.4318998396665066</v>
      </c>
    </row>
    <row r="9" spans="1:29" x14ac:dyDescent="0.2">
      <c r="A9" s="11"/>
      <c r="B9" s="11" t="s">
        <v>17</v>
      </c>
      <c r="C9" s="15">
        <f>STDEV(C4:C7)</f>
        <v>0.2017970503822939</v>
      </c>
      <c r="D9" s="15">
        <f t="shared" ref="D9:I9" si="3">STDEV(D4:D7)</f>
        <v>0.32941615886778769</v>
      </c>
      <c r="E9" s="15">
        <f t="shared" si="3"/>
        <v>2.6851064154720823</v>
      </c>
      <c r="F9" s="15">
        <f t="shared" si="3"/>
        <v>6.5524437173709413E-2</v>
      </c>
      <c r="G9" s="15">
        <f t="shared" si="3"/>
        <v>0.20179705038229304</v>
      </c>
      <c r="H9" s="15">
        <f t="shared" si="3"/>
        <v>0.10169554682592101</v>
      </c>
      <c r="I9" s="15">
        <f t="shared" si="3"/>
        <v>1.0278464887361867</v>
      </c>
      <c r="J9" s="15"/>
      <c r="K9" s="15"/>
      <c r="L9" s="15" t="s">
        <v>17</v>
      </c>
      <c r="M9" s="15">
        <f>STDEV(M4:M7)</f>
        <v>0.32339565841071827</v>
      </c>
      <c r="N9" s="15">
        <f t="shared" ref="N9:S9" si="4">STDEV(N4:N7)</f>
        <v>0.4221393188454316</v>
      </c>
      <c r="O9" s="15">
        <f t="shared" si="4"/>
        <v>3.8502512327862806</v>
      </c>
      <c r="P9" s="15">
        <f t="shared" si="4"/>
        <v>0.30457882322625102</v>
      </c>
      <c r="Q9" s="15">
        <f t="shared" si="4"/>
        <v>0.32339565841070433</v>
      </c>
      <c r="R9" s="15">
        <f t="shared" si="4"/>
        <v>6.2874452293959396E-2</v>
      </c>
      <c r="S9" s="15">
        <f t="shared" si="4"/>
        <v>0.10549773489567878</v>
      </c>
      <c r="U9" s="11"/>
      <c r="V9" s="11" t="s">
        <v>17</v>
      </c>
      <c r="W9" s="15">
        <f>STDEV(W4:W7)</f>
        <v>0.25115149191833991</v>
      </c>
      <c r="X9" s="15">
        <f t="shared" ref="X9:AC9" si="5">STDEV(X4:X7)</f>
        <v>0.34082353151791434</v>
      </c>
      <c r="Y9" s="15">
        <f t="shared" si="5"/>
        <v>2.5849725090092939</v>
      </c>
      <c r="Z9" s="15">
        <f t="shared" si="5"/>
        <v>7.8891925793076106E-2</v>
      </c>
      <c r="AA9" s="15">
        <f t="shared" si="5"/>
        <v>0.22140873136742018</v>
      </c>
      <c r="AB9" s="15">
        <f t="shared" si="5"/>
        <v>9.7209581158932565E-2</v>
      </c>
      <c r="AC9" s="15">
        <f t="shared" si="5"/>
        <v>0.9545166596178466</v>
      </c>
    </row>
    <row r="10" spans="1:29" x14ac:dyDescent="0.2">
      <c r="A10" s="11" t="s">
        <v>6</v>
      </c>
      <c r="B10" s="12" t="s">
        <v>7</v>
      </c>
      <c r="C10" s="12" t="s">
        <v>14</v>
      </c>
      <c r="D10" s="12" t="s">
        <v>1</v>
      </c>
      <c r="E10" s="12" t="s">
        <v>2</v>
      </c>
      <c r="F10" s="12" t="s">
        <v>3</v>
      </c>
      <c r="G10" s="12" t="s">
        <v>15</v>
      </c>
      <c r="H10" s="12" t="s">
        <v>4</v>
      </c>
      <c r="I10" s="12" t="s">
        <v>5</v>
      </c>
      <c r="J10" s="11"/>
      <c r="K10" s="11" t="s">
        <v>6</v>
      </c>
      <c r="L10" s="12" t="s">
        <v>7</v>
      </c>
      <c r="M10" s="12" t="s">
        <v>14</v>
      </c>
      <c r="N10" s="12" t="s">
        <v>1</v>
      </c>
      <c r="O10" s="12" t="s">
        <v>2</v>
      </c>
      <c r="P10" s="12" t="s">
        <v>3</v>
      </c>
      <c r="Q10" s="12" t="s">
        <v>15</v>
      </c>
      <c r="R10" s="12" t="s">
        <v>4</v>
      </c>
      <c r="S10" s="12" t="s">
        <v>5</v>
      </c>
      <c r="U10" s="11" t="s">
        <v>6</v>
      </c>
      <c r="V10" s="12" t="s">
        <v>7</v>
      </c>
      <c r="W10" s="12" t="s">
        <v>14</v>
      </c>
      <c r="X10" s="12" t="s">
        <v>1</v>
      </c>
      <c r="Y10" s="12" t="s">
        <v>2</v>
      </c>
      <c r="Z10" s="12" t="s">
        <v>3</v>
      </c>
      <c r="AA10" s="12" t="s">
        <v>15</v>
      </c>
      <c r="AB10" s="12" t="s">
        <v>4</v>
      </c>
      <c r="AC10" s="12" t="s">
        <v>5</v>
      </c>
    </row>
    <row r="11" spans="1:29" x14ac:dyDescent="0.2">
      <c r="A11" s="14" t="s">
        <v>8</v>
      </c>
      <c r="B11" s="7">
        <v>0</v>
      </c>
      <c r="C11" s="11">
        <v>12.6797203847765</v>
      </c>
      <c r="D11" s="11">
        <v>2.7161931782084201</v>
      </c>
      <c r="E11" s="11">
        <v>17.195269052768001</v>
      </c>
      <c r="F11" s="2">
        <v>0</v>
      </c>
      <c r="G11" s="11">
        <v>10.3461305451639</v>
      </c>
      <c r="H11" s="11">
        <v>0.39541441116706799</v>
      </c>
      <c r="I11" s="11">
        <v>4.4242474802967902</v>
      </c>
      <c r="J11" s="11"/>
      <c r="K11" s="14" t="s">
        <v>8</v>
      </c>
      <c r="L11" s="7">
        <v>0</v>
      </c>
      <c r="M11" s="11">
        <v>19.327112657424902</v>
      </c>
      <c r="N11" s="11">
        <v>4.2337286378894996</v>
      </c>
      <c r="O11" s="11">
        <v>27.962560632907699</v>
      </c>
      <c r="P11" s="11">
        <v>0</v>
      </c>
      <c r="Q11" s="11">
        <v>3.6987382725155502</v>
      </c>
      <c r="R11" s="11">
        <v>8.2398830829224307E-2</v>
      </c>
      <c r="S11" s="11">
        <v>2.5668304994900399</v>
      </c>
      <c r="U11" s="14" t="s">
        <v>8</v>
      </c>
      <c r="V11" s="7">
        <v>0</v>
      </c>
      <c r="W11" s="11">
        <v>13.1087707985801</v>
      </c>
      <c r="X11" s="11">
        <v>2.8003211266189099</v>
      </c>
      <c r="Y11" s="11">
        <v>17.791219375054801</v>
      </c>
      <c r="Z11" s="2">
        <v>0</v>
      </c>
      <c r="AA11" s="11">
        <v>10.164614702824901</v>
      </c>
      <c r="AB11" s="11">
        <v>0.38862877921407102</v>
      </c>
      <c r="AC11" s="11">
        <v>4.4080092647716</v>
      </c>
    </row>
    <row r="12" spans="1:29" x14ac:dyDescent="0.2">
      <c r="A12" s="14"/>
      <c r="B12" s="8">
        <v>0.5</v>
      </c>
      <c r="C12" s="13">
        <v>12.5964277253589</v>
      </c>
      <c r="D12" s="13">
        <v>2.7790737497861402</v>
      </c>
      <c r="E12" s="13">
        <v>17.582243352322902</v>
      </c>
      <c r="F12" s="4">
        <v>8.3361575062621804E-2</v>
      </c>
      <c r="G12" s="13">
        <v>10.4294232045815</v>
      </c>
      <c r="H12" s="13">
        <v>0.48535889927981701</v>
      </c>
      <c r="I12" s="13">
        <v>5.4991437121371698</v>
      </c>
      <c r="J12" s="11"/>
      <c r="K12" s="14"/>
      <c r="L12" s="8">
        <v>0.5</v>
      </c>
      <c r="M12" s="13">
        <v>18.896855678072299</v>
      </c>
      <c r="N12" s="13">
        <v>4.0262085167800903</v>
      </c>
      <c r="O12" s="13">
        <v>27.253622951357201</v>
      </c>
      <c r="P12" s="13">
        <v>0.45210414167593199</v>
      </c>
      <c r="Q12" s="13">
        <v>4.1289952518681297</v>
      </c>
      <c r="R12" s="13">
        <v>0.12207550170618001</v>
      </c>
      <c r="S12" s="13">
        <v>2.4504804891138701</v>
      </c>
      <c r="U12" s="14"/>
      <c r="V12" s="8">
        <v>0.5</v>
      </c>
      <c r="W12" s="13">
        <v>13.031001063369599</v>
      </c>
      <c r="X12" s="13">
        <v>2.8575700752597402</v>
      </c>
      <c r="Y12" s="13">
        <v>18.1814415974338</v>
      </c>
      <c r="Z12" s="4">
        <v>0.115010404130552</v>
      </c>
      <c r="AA12" s="13">
        <v>10.2366284102285</v>
      </c>
      <c r="AB12" s="13">
        <v>0.47644877755805198</v>
      </c>
      <c r="AC12" s="13">
        <v>5.4641852715973904</v>
      </c>
    </row>
    <row r="13" spans="1:29" x14ac:dyDescent="0.2">
      <c r="A13" s="14"/>
      <c r="B13" s="7">
        <v>1</v>
      </c>
      <c r="C13" s="11">
        <v>12.545666804673701</v>
      </c>
      <c r="D13" s="11">
        <v>2.7551347279310998</v>
      </c>
      <c r="E13" s="11">
        <v>18.002461241454601</v>
      </c>
      <c r="F13" s="2">
        <v>1.24482851051554E-2</v>
      </c>
      <c r="G13" s="11">
        <v>10.4801841252667</v>
      </c>
      <c r="H13" s="11">
        <v>0.47365411875499502</v>
      </c>
      <c r="I13" s="11">
        <v>5.4763291591565597</v>
      </c>
      <c r="J13" s="11"/>
      <c r="K13" s="14"/>
      <c r="L13" s="7">
        <v>1</v>
      </c>
      <c r="M13" s="11">
        <v>18.925793736602099</v>
      </c>
      <c r="N13" s="11">
        <v>4.04597076147118</v>
      </c>
      <c r="O13" s="11">
        <v>27.9766400203684</v>
      </c>
      <c r="P13" s="11">
        <v>7.1783834655745796E-2</v>
      </c>
      <c r="Q13" s="11">
        <v>4.1000571933384</v>
      </c>
      <c r="R13" s="11">
        <v>0.116944984743256</v>
      </c>
      <c r="S13" s="11">
        <v>2.4602229652281098</v>
      </c>
      <c r="U13" s="14"/>
      <c r="V13" s="7">
        <v>1</v>
      </c>
      <c r="W13" s="11">
        <v>12.97105539963</v>
      </c>
      <c r="X13" s="11">
        <v>2.8328905856881899</v>
      </c>
      <c r="Y13" s="11">
        <v>18.593592953269098</v>
      </c>
      <c r="Z13" s="2">
        <v>1.75358157445668E-2</v>
      </c>
      <c r="AA13" s="11">
        <v>10.292085264189099</v>
      </c>
      <c r="AB13" s="11">
        <v>0.46521699785426501</v>
      </c>
      <c r="AC13" s="11">
        <v>5.4422903351176402</v>
      </c>
    </row>
    <row r="14" spans="1:29" x14ac:dyDescent="0.2">
      <c r="A14" s="14"/>
      <c r="B14" s="8">
        <v>1.5</v>
      </c>
      <c r="C14" s="13">
        <v>11.6413277262735</v>
      </c>
      <c r="D14" s="13">
        <v>2.58613380358097</v>
      </c>
      <c r="E14" s="13">
        <v>13.900781111655499</v>
      </c>
      <c r="F14" s="4">
        <v>0.42926001948854198</v>
      </c>
      <c r="G14" s="13">
        <v>11.384523203666999</v>
      </c>
      <c r="H14" s="13">
        <v>0.700133146230003</v>
      </c>
      <c r="I14" s="13">
        <v>7.3137776094456397</v>
      </c>
      <c r="J14" s="11"/>
      <c r="K14" s="14"/>
      <c r="L14" s="8">
        <v>1.5</v>
      </c>
      <c r="M14" s="13">
        <v>17.547718674143098</v>
      </c>
      <c r="N14" s="13">
        <v>3.6233208859270398</v>
      </c>
      <c r="O14" s="13">
        <v>22.036554388104499</v>
      </c>
      <c r="P14" s="13">
        <v>1.96326000181053</v>
      </c>
      <c r="Q14" s="13">
        <v>5.4781322557973304</v>
      </c>
      <c r="R14" s="13">
        <v>0.234123009200565</v>
      </c>
      <c r="S14" s="13">
        <v>2.50808264414127</v>
      </c>
      <c r="U14" s="14"/>
      <c r="V14" s="8">
        <v>1.5</v>
      </c>
      <c r="W14" s="13">
        <v>12.091571731418</v>
      </c>
      <c r="X14" s="13">
        <v>2.6665426090319801</v>
      </c>
      <c r="Y14" s="13">
        <v>14.530066434574</v>
      </c>
      <c r="Z14" s="4">
        <v>0.56023023953211004</v>
      </c>
      <c r="AA14" s="13">
        <v>11.1754536162722</v>
      </c>
      <c r="AB14" s="13">
        <v>0.68689994210601302</v>
      </c>
      <c r="AC14" s="13">
        <v>7.2645349434576501</v>
      </c>
    </row>
    <row r="15" spans="1:29" x14ac:dyDescent="0.2">
      <c r="A15" s="11"/>
      <c r="B15" s="11" t="s">
        <v>16</v>
      </c>
      <c r="C15" s="15">
        <f>AVERAGE(C11:C14)</f>
        <v>12.365785660270651</v>
      </c>
      <c r="D15" s="15">
        <f t="shared" ref="D15:I15" si="6">AVERAGE(D11:D14)</f>
        <v>2.7091338648766579</v>
      </c>
      <c r="E15" s="15">
        <f t="shared" si="6"/>
        <v>16.670188689550251</v>
      </c>
      <c r="F15" s="15">
        <f t="shared" si="6"/>
        <v>0.13126746991407978</v>
      </c>
      <c r="G15" s="15">
        <f t="shared" si="6"/>
        <v>10.660065269669774</v>
      </c>
      <c r="H15" s="15">
        <f t="shared" si="6"/>
        <v>0.51364014385797074</v>
      </c>
      <c r="I15" s="15">
        <f t="shared" si="6"/>
        <v>5.6783744902590403</v>
      </c>
      <c r="J15" s="15"/>
      <c r="K15" s="15"/>
      <c r="L15" s="15" t="s">
        <v>16</v>
      </c>
      <c r="M15" s="15">
        <f>AVERAGE(M11:M14)</f>
        <v>18.674370186560601</v>
      </c>
      <c r="N15" s="15">
        <f t="shared" ref="N15:S15" si="7">AVERAGE(N11:N14)</f>
        <v>3.9823072005169524</v>
      </c>
      <c r="O15" s="15">
        <f t="shared" si="7"/>
        <v>26.307344498184449</v>
      </c>
      <c r="P15" s="15">
        <f t="shared" si="7"/>
        <v>0.62178699453555197</v>
      </c>
      <c r="Q15" s="15">
        <f t="shared" si="7"/>
        <v>4.3514807433798524</v>
      </c>
      <c r="R15" s="15">
        <f t="shared" si="7"/>
        <v>0.13888558161980633</v>
      </c>
      <c r="S15" s="15">
        <f t="shared" si="7"/>
        <v>2.4964041494933227</v>
      </c>
      <c r="U15" s="11"/>
      <c r="V15" s="11" t="s">
        <v>16</v>
      </c>
      <c r="W15" s="15">
        <f>AVERAGE(W11:W14)</f>
        <v>12.800599748249425</v>
      </c>
      <c r="X15" s="15">
        <f t="shared" ref="X15:AC15" si="8">AVERAGE(X11:X14)</f>
        <v>2.7893310991497051</v>
      </c>
      <c r="Y15" s="15">
        <f t="shared" si="8"/>
        <v>17.274080090082922</v>
      </c>
      <c r="Z15" s="15">
        <f t="shared" si="8"/>
        <v>0.17319411485180722</v>
      </c>
      <c r="AA15" s="15">
        <f t="shared" si="8"/>
        <v>10.467195498378675</v>
      </c>
      <c r="AB15" s="15">
        <f t="shared" si="8"/>
        <v>0.50429862418310023</v>
      </c>
      <c r="AC15" s="15">
        <f t="shared" si="8"/>
        <v>5.6447549537360704</v>
      </c>
    </row>
    <row r="16" spans="1:29" x14ac:dyDescent="0.2">
      <c r="A16" s="11"/>
      <c r="B16" s="11" t="s">
        <v>17</v>
      </c>
      <c r="C16" s="15">
        <f>STDEV(C11:C14)</f>
        <v>0.48612320032474149</v>
      </c>
      <c r="D16" s="15">
        <f t="shared" ref="D16:I16" si="9">STDEV(D11:D14)</f>
        <v>8.5997123762685854E-2</v>
      </c>
      <c r="E16" s="15">
        <f t="shared" si="9"/>
        <v>1.8754663047520403</v>
      </c>
      <c r="F16" s="15">
        <f t="shared" si="9"/>
        <v>0.20202613832514218</v>
      </c>
      <c r="G16" s="15">
        <f t="shared" si="9"/>
        <v>0.48612320032479089</v>
      </c>
      <c r="H16" s="15">
        <f t="shared" si="9"/>
        <v>0.13058289168501472</v>
      </c>
      <c r="I16" s="15">
        <f t="shared" si="9"/>
        <v>1.2000449862412896</v>
      </c>
      <c r="J16" s="15"/>
      <c r="K16" s="15"/>
      <c r="L16" s="15" t="s">
        <v>17</v>
      </c>
      <c r="M16" s="15">
        <f>STDEV(M11:M14)</f>
        <v>0.77634398714988662</v>
      </c>
      <c r="N16" s="15">
        <f t="shared" ref="N16:S16" si="10">STDEV(N11:N14)</f>
        <v>0.25694635483976941</v>
      </c>
      <c r="O16" s="15">
        <f t="shared" si="10"/>
        <v>2.867134403798056</v>
      </c>
      <c r="P16" s="15">
        <f t="shared" si="10"/>
        <v>0.91605397261902244</v>
      </c>
      <c r="Q16" s="15">
        <f t="shared" si="10"/>
        <v>0.77634398714987318</v>
      </c>
      <c r="R16" s="15">
        <f t="shared" si="10"/>
        <v>6.5891044422034015E-2</v>
      </c>
      <c r="S16" s="15">
        <f t="shared" si="10"/>
        <v>5.327387943005104E-2</v>
      </c>
      <c r="U16" s="11"/>
      <c r="V16" s="11" t="s">
        <v>17</v>
      </c>
      <c r="W16" s="15">
        <f>STDEV(W11:W14)</f>
        <v>0.47603571995194383</v>
      </c>
      <c r="X16" s="15">
        <f t="shared" ref="X16:AC16" si="11">STDEV(X11:X14)</f>
        <v>8.515041737460223E-2</v>
      </c>
      <c r="Y16" s="15">
        <f t="shared" si="11"/>
        <v>1.8584458635121717</v>
      </c>
      <c r="Z16" s="15">
        <f t="shared" si="11"/>
        <v>0.26293726343058954</v>
      </c>
      <c r="AA16" s="15">
        <f t="shared" si="11"/>
        <v>0.47504718209739011</v>
      </c>
      <c r="AB16" s="15">
        <f t="shared" si="11"/>
        <v>0.12783549561303317</v>
      </c>
      <c r="AC16" s="15">
        <f t="shared" si="11"/>
        <v>1.186988408561007</v>
      </c>
    </row>
    <row r="17" spans="1:29" x14ac:dyDescent="0.2">
      <c r="A17" s="11" t="s">
        <v>6</v>
      </c>
      <c r="B17" s="12" t="s">
        <v>7</v>
      </c>
      <c r="C17" s="12" t="s">
        <v>14</v>
      </c>
      <c r="D17" s="12" t="s">
        <v>1</v>
      </c>
      <c r="E17" s="12" t="s">
        <v>2</v>
      </c>
      <c r="F17" s="12" t="s">
        <v>3</v>
      </c>
      <c r="G17" s="12" t="s">
        <v>15</v>
      </c>
      <c r="H17" s="12" t="s">
        <v>4</v>
      </c>
      <c r="I17" s="12" t="s">
        <v>5</v>
      </c>
      <c r="J17" s="11"/>
      <c r="K17" s="11" t="s">
        <v>6</v>
      </c>
      <c r="L17" s="12" t="s">
        <v>7</v>
      </c>
      <c r="M17" s="12" t="s">
        <v>14</v>
      </c>
      <c r="N17" s="12" t="s">
        <v>1</v>
      </c>
      <c r="O17" s="12" t="s">
        <v>2</v>
      </c>
      <c r="P17" s="12" t="s">
        <v>3</v>
      </c>
      <c r="Q17" s="12" t="s">
        <v>15</v>
      </c>
      <c r="R17" s="12" t="s">
        <v>4</v>
      </c>
      <c r="S17" s="12" t="s">
        <v>5</v>
      </c>
      <c r="U17" s="11" t="s">
        <v>6</v>
      </c>
      <c r="V17" s="12" t="s">
        <v>7</v>
      </c>
      <c r="W17" s="12" t="s">
        <v>14</v>
      </c>
      <c r="X17" s="12" t="s">
        <v>1</v>
      </c>
      <c r="Y17" s="12" t="s">
        <v>2</v>
      </c>
      <c r="Z17" s="12" t="s">
        <v>3</v>
      </c>
      <c r="AA17" s="12" t="s">
        <v>15</v>
      </c>
      <c r="AB17" s="12" t="s">
        <v>4</v>
      </c>
      <c r="AC17" s="12" t="s">
        <v>5</v>
      </c>
    </row>
    <row r="18" spans="1:29" x14ac:dyDescent="0.2">
      <c r="A18" s="14" t="s">
        <v>9</v>
      </c>
      <c r="B18" s="7">
        <v>0</v>
      </c>
      <c r="C18" s="11">
        <v>10.550640863100201</v>
      </c>
      <c r="D18" s="11">
        <v>1.8703629464598299</v>
      </c>
      <c r="E18" s="11">
        <v>11.566006404677699</v>
      </c>
      <c r="F18" s="11">
        <v>2.4596610689579201E-2</v>
      </c>
      <c r="G18" s="11">
        <v>12.475210066840299</v>
      </c>
      <c r="H18" s="11">
        <v>0.35488123450745701</v>
      </c>
      <c r="I18" s="11">
        <v>3.8455915024247398</v>
      </c>
      <c r="J18" s="11"/>
      <c r="K18" s="14" t="s">
        <v>9</v>
      </c>
      <c r="L18" s="7">
        <v>0</v>
      </c>
      <c r="M18" s="11">
        <v>18.5394976965013</v>
      </c>
      <c r="N18" s="11">
        <v>3.1266634068640999</v>
      </c>
      <c r="O18" s="11">
        <v>22.223990983564601</v>
      </c>
      <c r="P18" s="11">
        <v>0.15664136855756899</v>
      </c>
      <c r="Q18" s="11">
        <v>4.4863532334391296</v>
      </c>
      <c r="R18" s="11">
        <v>6.3567638728510595E-2</v>
      </c>
      <c r="S18" s="11">
        <v>3.59983218472208</v>
      </c>
      <c r="U18" s="14" t="s">
        <v>9</v>
      </c>
      <c r="V18" s="7">
        <v>0</v>
      </c>
      <c r="W18" s="11">
        <v>10.8311831724351</v>
      </c>
      <c r="X18" s="11">
        <v>1.91045040958597</v>
      </c>
      <c r="Y18" s="11">
        <v>12.036545575336801</v>
      </c>
      <c r="Z18" s="11">
        <v>3.3219471766658397E-2</v>
      </c>
      <c r="AA18" s="11">
        <v>12.3637420457137</v>
      </c>
      <c r="AB18" s="11">
        <v>0.351706241238252</v>
      </c>
      <c r="AC18" s="11">
        <v>3.87038095849076</v>
      </c>
    </row>
    <row r="19" spans="1:29" x14ac:dyDescent="0.2">
      <c r="A19" s="14"/>
      <c r="B19" s="8">
        <v>0.5</v>
      </c>
      <c r="C19" s="13">
        <v>11.6047981196624</v>
      </c>
      <c r="D19" s="13">
        <v>1.91450706287585</v>
      </c>
      <c r="E19" s="13">
        <v>12.2763278876751</v>
      </c>
      <c r="F19" s="13">
        <v>2.61807661667217E-2</v>
      </c>
      <c r="G19" s="13">
        <v>11.4210528102781</v>
      </c>
      <c r="H19" s="13">
        <v>0.28889349580298301</v>
      </c>
      <c r="I19" s="13">
        <v>3.04347940385491</v>
      </c>
      <c r="J19" s="11"/>
      <c r="K19" s="14"/>
      <c r="L19" s="8">
        <v>0.5</v>
      </c>
      <c r="M19" s="13">
        <v>19.501460093328099</v>
      </c>
      <c r="N19" s="13">
        <v>3.05521511889653</v>
      </c>
      <c r="O19" s="13">
        <v>21.779138332641299</v>
      </c>
      <c r="P19" s="13">
        <v>0.16305727533139699</v>
      </c>
      <c r="Q19" s="13">
        <v>3.5243908366123202</v>
      </c>
      <c r="R19" s="13">
        <v>4.0423196121374697E-2</v>
      </c>
      <c r="S19" s="13">
        <v>2.9772596308210701</v>
      </c>
      <c r="U19" s="14"/>
      <c r="V19" s="8">
        <v>0.5</v>
      </c>
      <c r="W19" s="13">
        <v>11.8658585276322</v>
      </c>
      <c r="X19" s="13">
        <v>1.9491860139539501</v>
      </c>
      <c r="Y19" s="13">
        <v>12.716152007742</v>
      </c>
      <c r="Z19" s="13">
        <v>3.4132257900077803E-2</v>
      </c>
      <c r="AA19" s="13">
        <v>11.3161974062137</v>
      </c>
      <c r="AB19" s="13">
        <v>0.28622757019316503</v>
      </c>
      <c r="AC19" s="13">
        <v>3.06550953205759</v>
      </c>
    </row>
    <row r="20" spans="1:29" x14ac:dyDescent="0.2">
      <c r="A20" s="14"/>
      <c r="B20" s="7">
        <v>1</v>
      </c>
      <c r="C20" s="11">
        <v>11.2195268780536</v>
      </c>
      <c r="D20" s="11">
        <v>1.87280319433564</v>
      </c>
      <c r="E20" s="11">
        <v>11.838201242303899</v>
      </c>
      <c r="F20" s="11">
        <v>9.5555851262405497E-2</v>
      </c>
      <c r="G20" s="11">
        <v>11.806324051886801</v>
      </c>
      <c r="H20" s="11">
        <v>0.38229290047192699</v>
      </c>
      <c r="I20" s="11">
        <v>4.0385728052687604</v>
      </c>
      <c r="J20" s="11"/>
      <c r="K20" s="14"/>
      <c r="L20" s="7">
        <v>1</v>
      </c>
      <c r="M20" s="11">
        <v>18.694607954657201</v>
      </c>
      <c r="N20" s="11">
        <v>2.81696961314598</v>
      </c>
      <c r="O20" s="11">
        <v>20.225257222527301</v>
      </c>
      <c r="P20" s="11">
        <v>0.565279444552648</v>
      </c>
      <c r="Q20" s="11">
        <v>4.3312429752832502</v>
      </c>
      <c r="R20" s="11">
        <v>7.2235132985290204E-2</v>
      </c>
      <c r="S20" s="11">
        <v>3.3617663466513301</v>
      </c>
      <c r="U20" s="14"/>
      <c r="V20" s="7">
        <v>1</v>
      </c>
      <c r="W20" s="11">
        <v>11.474988410951999</v>
      </c>
      <c r="X20" s="11">
        <v>1.90446513703874</v>
      </c>
      <c r="Y20" s="11">
        <v>12.268149161731101</v>
      </c>
      <c r="Z20" s="11">
        <v>0.12475321014762</v>
      </c>
      <c r="AA20" s="11">
        <v>11.6975433015735</v>
      </c>
      <c r="AB20" s="11">
        <v>0.37865696770323698</v>
      </c>
      <c r="AC20" s="11">
        <v>4.0620270085392702</v>
      </c>
    </row>
    <row r="21" spans="1:29" x14ac:dyDescent="0.2">
      <c r="A21" s="14"/>
      <c r="B21" s="8">
        <v>1.5</v>
      </c>
      <c r="C21" s="13">
        <v>10.901520749945</v>
      </c>
      <c r="D21" s="13">
        <v>1.7574462175822501</v>
      </c>
      <c r="E21" s="13">
        <v>9.3504005982099994</v>
      </c>
      <c r="F21" s="13">
        <v>0.431194249955548</v>
      </c>
      <c r="G21" s="13">
        <v>12.1243301799955</v>
      </c>
      <c r="H21" s="13">
        <v>0.33872329935281098</v>
      </c>
      <c r="I21" s="13">
        <v>3.1716545660625202</v>
      </c>
      <c r="J21" s="11"/>
      <c r="K21" s="14"/>
      <c r="L21" s="8">
        <v>1.5</v>
      </c>
      <c r="M21" s="13">
        <v>18.833855670260899</v>
      </c>
      <c r="N21" s="13">
        <v>2.6832105597323799</v>
      </c>
      <c r="O21" s="13">
        <v>17.537575199228701</v>
      </c>
      <c r="P21" s="13">
        <v>2.1742140265005498</v>
      </c>
      <c r="Q21" s="13">
        <v>4.1919952596795902</v>
      </c>
      <c r="R21" s="13">
        <v>5.3903428397042499E-2</v>
      </c>
      <c r="S21" s="13">
        <v>3.53144697955985</v>
      </c>
      <c r="U21" s="14"/>
      <c r="V21" s="8">
        <v>1.5</v>
      </c>
      <c r="W21" s="13">
        <v>11.155448735289999</v>
      </c>
      <c r="X21" s="13">
        <v>1.7870105080916601</v>
      </c>
      <c r="Y21" s="13">
        <v>9.7747184840290409</v>
      </c>
      <c r="Z21" s="13">
        <v>0.52908175642108501</v>
      </c>
      <c r="AA21" s="13">
        <v>12.0215420760874</v>
      </c>
      <c r="AB21" s="13">
        <v>0.33579788969857299</v>
      </c>
      <c r="AC21" s="13">
        <v>3.21002004554619</v>
      </c>
    </row>
    <row r="22" spans="1:29" x14ac:dyDescent="0.2">
      <c r="B22" s="11" t="s">
        <v>16</v>
      </c>
      <c r="C22" s="15">
        <f>AVERAGE(C18:C21)</f>
        <v>11.069121652690301</v>
      </c>
      <c r="D22" s="15">
        <f t="shared" ref="D22:I22" si="12">AVERAGE(D18:D21)</f>
        <v>1.8537798553133924</v>
      </c>
      <c r="E22" s="15">
        <f t="shared" si="12"/>
        <v>11.257734033216675</v>
      </c>
      <c r="F22" s="15">
        <f t="shared" si="12"/>
        <v>0.1443818695185636</v>
      </c>
      <c r="G22" s="15">
        <f t="shared" si="12"/>
        <v>11.956729277250176</v>
      </c>
      <c r="H22" s="15">
        <f t="shared" si="12"/>
        <v>0.34119773253379448</v>
      </c>
      <c r="I22" s="15">
        <f t="shared" si="12"/>
        <v>3.5248245694027323</v>
      </c>
      <c r="J22" s="16"/>
      <c r="K22" s="16"/>
      <c r="L22" s="15" t="s">
        <v>16</v>
      </c>
      <c r="M22" s="15">
        <f>AVERAGE(M18:M21)</f>
        <v>18.892355353686874</v>
      </c>
      <c r="N22" s="15">
        <f t="shared" ref="N22:S22" si="13">AVERAGE(N18:N21)</f>
        <v>2.9205146746597475</v>
      </c>
      <c r="O22" s="15">
        <f t="shared" si="13"/>
        <v>20.441490434490476</v>
      </c>
      <c r="P22" s="15">
        <f t="shared" si="13"/>
        <v>0.76479802873554092</v>
      </c>
      <c r="Q22" s="15">
        <f t="shared" si="13"/>
        <v>4.1334955762535728</v>
      </c>
      <c r="R22" s="15">
        <f t="shared" si="13"/>
        <v>5.7532349058054502E-2</v>
      </c>
      <c r="S22" s="15">
        <f t="shared" si="13"/>
        <v>3.3675762854385827</v>
      </c>
      <c r="V22" s="11" t="s">
        <v>16</v>
      </c>
      <c r="W22" s="15">
        <f>AVERAGE(W18:W21)</f>
        <v>11.331869711577326</v>
      </c>
      <c r="X22" s="15">
        <f t="shared" ref="X22:AC22" si="14">AVERAGE(X18:X21)</f>
        <v>1.88777801716758</v>
      </c>
      <c r="Y22" s="15">
        <f t="shared" si="14"/>
        <v>11.698891307209735</v>
      </c>
      <c r="Z22" s="15">
        <f t="shared" si="14"/>
        <v>0.1802966740588603</v>
      </c>
      <c r="AA22" s="15">
        <f>AVERAGE(AA18:AA21)</f>
        <v>11.849756207397075</v>
      </c>
      <c r="AB22" s="15">
        <f t="shared" si="14"/>
        <v>0.33809716720830674</v>
      </c>
      <c r="AC22" s="15">
        <f t="shared" si="14"/>
        <v>3.5519843861584528</v>
      </c>
    </row>
    <row r="23" spans="1:29" x14ac:dyDescent="0.2">
      <c r="B23" s="11" t="s">
        <v>17</v>
      </c>
      <c r="C23" s="15">
        <f>STDEV(C18:C21)</f>
        <v>0.44962332415008172</v>
      </c>
      <c r="D23" s="15">
        <f t="shared" ref="D23:I23" si="15">STDEV(D18:D21)</f>
        <v>6.7342036986256973E-2</v>
      </c>
      <c r="E23" s="15">
        <f t="shared" si="15"/>
        <v>1.3047896776194174</v>
      </c>
      <c r="F23" s="15">
        <f t="shared" si="15"/>
        <v>0.19404924692544737</v>
      </c>
      <c r="G23" s="15">
        <f t="shared" si="15"/>
        <v>0.44962332415009282</v>
      </c>
      <c r="H23" s="15">
        <f t="shared" si="15"/>
        <v>3.9233943865342159E-2</v>
      </c>
      <c r="I23" s="15">
        <f t="shared" si="15"/>
        <v>0.49100267984041324</v>
      </c>
      <c r="J23" s="16"/>
      <c r="K23" s="16"/>
      <c r="L23" s="15" t="s">
        <v>17</v>
      </c>
      <c r="M23" s="15">
        <f>STDEV(M18:M21)</f>
        <v>0.42349472915721803</v>
      </c>
      <c r="N23" s="15">
        <f t="shared" ref="N23:S23" si="16">STDEV(N18:N21)</f>
        <v>0.20629778815456679</v>
      </c>
      <c r="O23" s="15">
        <f t="shared" si="16"/>
        <v>2.1170805843911746</v>
      </c>
      <c r="P23" s="15">
        <f t="shared" si="16"/>
        <v>0.95885479919476413</v>
      </c>
      <c r="Q23" s="15">
        <f t="shared" si="16"/>
        <v>0.42349472915722919</v>
      </c>
      <c r="R23" s="15">
        <f t="shared" si="16"/>
        <v>1.3644153277648667E-2</v>
      </c>
      <c r="S23" s="15">
        <f t="shared" si="16"/>
        <v>0.27879338430953376</v>
      </c>
      <c r="V23" s="11" t="s">
        <v>17</v>
      </c>
      <c r="W23" s="15">
        <f>STDEV(W18:W21)</f>
        <v>0.44250739697575586</v>
      </c>
      <c r="X23" s="15">
        <f t="shared" ref="X23:AC23" si="17">STDEV(X18:X21)</f>
        <v>7.004172637851519E-2</v>
      </c>
      <c r="Y23" s="15">
        <f t="shared" si="17"/>
        <v>1.3134338323688344</v>
      </c>
      <c r="Z23" s="15">
        <f t="shared" si="17"/>
        <v>0.23645425917558358</v>
      </c>
      <c r="AA23" s="15">
        <f>STDEV(AA18:AA21)</f>
        <v>0.44778923229991063</v>
      </c>
      <c r="AB23" s="15">
        <f t="shared" si="17"/>
        <v>3.8841756241279994E-2</v>
      </c>
      <c r="AC23" s="15">
        <f t="shared" si="17"/>
        <v>0.48823397664128682</v>
      </c>
    </row>
    <row r="24" spans="1:29" x14ac:dyDescent="0.2">
      <c r="A24" s="5"/>
      <c r="B24" s="9"/>
      <c r="C24" s="9"/>
      <c r="D24" s="10"/>
      <c r="E24" s="10"/>
      <c r="F24" s="10"/>
      <c r="G24" s="10"/>
      <c r="H24" s="5"/>
      <c r="I24" s="9"/>
      <c r="J24" s="2"/>
      <c r="L24" s="5"/>
      <c r="M24" s="9"/>
      <c r="N24" s="10"/>
      <c r="O24" s="9"/>
      <c r="P24" s="9"/>
      <c r="Q24" s="9"/>
      <c r="R24" s="9"/>
    </row>
    <row r="25" spans="1:29" x14ac:dyDescent="0.2">
      <c r="A25" s="14" t="s">
        <v>12</v>
      </c>
      <c r="B25" s="14"/>
      <c r="C25" s="14"/>
      <c r="D25" s="14"/>
      <c r="E25" s="14"/>
      <c r="F25" s="14"/>
      <c r="G25" s="14"/>
      <c r="H25" s="14"/>
      <c r="I25" s="14"/>
      <c r="J25" s="11"/>
      <c r="K25" s="14" t="s">
        <v>13</v>
      </c>
      <c r="L25" s="14"/>
      <c r="M25" s="14"/>
      <c r="N25" s="14"/>
      <c r="O25" s="14"/>
      <c r="P25" s="14"/>
      <c r="Q25" s="14"/>
      <c r="R25" s="14"/>
      <c r="S25" s="14"/>
      <c r="U25" s="14" t="s">
        <v>19</v>
      </c>
      <c r="V25" s="14"/>
      <c r="W25" s="14"/>
      <c r="X25" s="14"/>
      <c r="Y25" s="14"/>
      <c r="Z25" s="14"/>
      <c r="AA25" s="14"/>
      <c r="AB25" s="14"/>
      <c r="AC25" s="14"/>
    </row>
    <row r="26" spans="1:29" x14ac:dyDescent="0.2">
      <c r="A26" s="11" t="s">
        <v>6</v>
      </c>
      <c r="B26" s="12" t="s">
        <v>7</v>
      </c>
      <c r="C26" s="12" t="s">
        <v>14</v>
      </c>
      <c r="D26" s="12" t="s">
        <v>1</v>
      </c>
      <c r="E26" s="12" t="s">
        <v>2</v>
      </c>
      <c r="F26" s="12" t="s">
        <v>3</v>
      </c>
      <c r="G26" s="12" t="s">
        <v>15</v>
      </c>
      <c r="H26" s="12" t="s">
        <v>4</v>
      </c>
      <c r="I26" s="12" t="s">
        <v>5</v>
      </c>
      <c r="J26" s="11"/>
      <c r="K26" s="11" t="s">
        <v>6</v>
      </c>
      <c r="L26" s="12" t="s">
        <v>7</v>
      </c>
      <c r="M26" s="12" t="s">
        <v>14</v>
      </c>
      <c r="N26" s="12" t="s">
        <v>1</v>
      </c>
      <c r="O26" s="12" t="s">
        <v>2</v>
      </c>
      <c r="P26" s="12" t="s">
        <v>3</v>
      </c>
      <c r="Q26" s="12" t="s">
        <v>15</v>
      </c>
      <c r="R26" s="12" t="s">
        <v>4</v>
      </c>
      <c r="S26" s="12" t="s">
        <v>5</v>
      </c>
      <c r="U26" s="11" t="s">
        <v>6</v>
      </c>
      <c r="V26" s="12" t="s">
        <v>7</v>
      </c>
      <c r="W26" s="12" t="s">
        <v>14</v>
      </c>
      <c r="X26" s="12" t="s">
        <v>1</v>
      </c>
      <c r="Y26" s="12" t="s">
        <v>2</v>
      </c>
      <c r="Z26" s="12" t="s">
        <v>3</v>
      </c>
      <c r="AA26" s="12" t="s">
        <v>15</v>
      </c>
      <c r="AB26" s="12" t="s">
        <v>4</v>
      </c>
      <c r="AC26" s="12" t="s">
        <v>5</v>
      </c>
    </row>
    <row r="27" spans="1:29" x14ac:dyDescent="0.2">
      <c r="A27" s="14" t="s">
        <v>0</v>
      </c>
      <c r="B27" s="7">
        <v>0</v>
      </c>
      <c r="C27" s="7">
        <v>3.1182110779016199</v>
      </c>
      <c r="D27" s="7">
        <v>1.13258755676602</v>
      </c>
      <c r="E27" s="7">
        <v>6.4834166670266704</v>
      </c>
      <c r="F27" s="7">
        <v>9.8003439577213997E-2</v>
      </c>
      <c r="G27" s="7">
        <v>2.9006184016667902</v>
      </c>
      <c r="H27" s="1">
        <v>0.24884185313071</v>
      </c>
      <c r="I27" s="7">
        <v>3.2636379397646902</v>
      </c>
      <c r="J27" s="11"/>
      <c r="K27" s="14" t="s">
        <v>0</v>
      </c>
      <c r="L27" s="7">
        <v>0</v>
      </c>
      <c r="M27" s="7">
        <v>3.8597373523817802</v>
      </c>
      <c r="N27" s="7">
        <v>1.4051301093772099</v>
      </c>
      <c r="O27" s="7">
        <v>8.9132875755940599</v>
      </c>
      <c r="P27" s="7">
        <v>0.49117587295778598</v>
      </c>
      <c r="Q27" s="7">
        <v>1.9235309736695001</v>
      </c>
      <c r="R27" s="1">
        <v>0.13399352499981099</v>
      </c>
      <c r="S27" s="1">
        <v>0.459121738654935</v>
      </c>
      <c r="U27" s="14" t="s">
        <v>0</v>
      </c>
      <c r="V27" s="7">
        <v>0</v>
      </c>
      <c r="W27" s="7">
        <v>3.2580216721931898</v>
      </c>
      <c r="X27" s="7">
        <v>1.1616731632799899</v>
      </c>
      <c r="Y27" s="7">
        <v>6.44296004713493</v>
      </c>
      <c r="Z27" s="7">
        <v>0.12812766799050601</v>
      </c>
      <c r="AA27" s="7">
        <v>2.83280210469362</v>
      </c>
      <c r="AB27" s="1">
        <v>0.24341563232743799</v>
      </c>
      <c r="AC27" s="7">
        <v>3.2106412980872001</v>
      </c>
    </row>
    <row r="28" spans="1:29" x14ac:dyDescent="0.2">
      <c r="A28" s="14"/>
      <c r="B28" s="8">
        <v>0.5</v>
      </c>
      <c r="C28" s="8">
        <v>3.1878464620939702</v>
      </c>
      <c r="D28" s="8">
        <v>1.17011322942596</v>
      </c>
      <c r="E28" s="8">
        <v>6.8144846104908803</v>
      </c>
      <c r="F28" s="8">
        <v>7.8253211359583602E-2</v>
      </c>
      <c r="G28" s="8">
        <v>2.8541630121412598</v>
      </c>
      <c r="H28" s="3">
        <v>0.20337467383640301</v>
      </c>
      <c r="I28" s="8">
        <v>2.64829268969397</v>
      </c>
      <c r="J28" s="11"/>
      <c r="K28" s="14"/>
      <c r="L28" s="8">
        <v>0.5</v>
      </c>
      <c r="M28" s="8">
        <v>3.94950196547425</v>
      </c>
      <c r="N28" s="8">
        <v>1.4775030221596199</v>
      </c>
      <c r="O28" s="8">
        <v>9.6365789471600998</v>
      </c>
      <c r="P28" s="8">
        <v>0.40880718173255498</v>
      </c>
      <c r="Q28" s="8">
        <v>1.79717833461064</v>
      </c>
      <c r="R28" s="3">
        <v>9.8745914209363295E-2</v>
      </c>
      <c r="S28" s="3">
        <v>0.504939828524825</v>
      </c>
      <c r="U28" s="14"/>
      <c r="V28" s="8">
        <v>0.5</v>
      </c>
      <c r="W28" s="8">
        <v>3.3286278208210902</v>
      </c>
      <c r="X28" s="8">
        <v>1.1990584594096401</v>
      </c>
      <c r="Y28" s="8">
        <v>6.7509060009937603</v>
      </c>
      <c r="Z28" s="8">
        <v>0.100846288699076</v>
      </c>
      <c r="AA28" s="8">
        <v>2.7891179077785302</v>
      </c>
      <c r="AB28" s="3">
        <v>0.19920090567897</v>
      </c>
      <c r="AC28" s="8">
        <v>2.6137491350611701</v>
      </c>
    </row>
    <row r="29" spans="1:29" x14ac:dyDescent="0.2">
      <c r="A29" s="14"/>
      <c r="B29" s="7">
        <v>1</v>
      </c>
      <c r="C29" s="7">
        <v>3.06341337083997</v>
      </c>
      <c r="D29" s="7">
        <v>0.969336228700453</v>
      </c>
      <c r="E29" s="7">
        <v>5.1503540310642704</v>
      </c>
      <c r="F29" s="7">
        <v>0.14684609754438499</v>
      </c>
      <c r="G29" s="7">
        <v>2.8801625009865801</v>
      </c>
      <c r="H29" s="1">
        <v>0.264929924304589</v>
      </c>
      <c r="I29" s="7">
        <v>3.30950013756601</v>
      </c>
      <c r="J29" s="11"/>
      <c r="K29" s="14"/>
      <c r="L29" s="7">
        <v>1</v>
      </c>
      <c r="M29" s="7">
        <v>3.81882826176862</v>
      </c>
      <c r="N29" s="7">
        <v>1.25177939255972</v>
      </c>
      <c r="O29" s="7">
        <v>7.26578665896721</v>
      </c>
      <c r="P29" s="7">
        <v>0.70821184796540804</v>
      </c>
      <c r="Q29" s="7">
        <v>1.9155801018891701</v>
      </c>
      <c r="R29" s="1">
        <v>0.14402983378478099</v>
      </c>
      <c r="S29" s="1">
        <v>0.50896935610679706</v>
      </c>
      <c r="U29" s="14"/>
      <c r="V29" s="7">
        <v>1</v>
      </c>
      <c r="W29" s="7">
        <v>3.18397842414532</v>
      </c>
      <c r="X29" s="7">
        <v>0.99684407331027802</v>
      </c>
      <c r="Y29" s="7">
        <v>5.16680335902449</v>
      </c>
      <c r="Z29" s="7">
        <v>0.17738260669762501</v>
      </c>
      <c r="AA29" s="7">
        <v>2.8156982163050501</v>
      </c>
      <c r="AB29" s="1">
        <v>0.259235729378199</v>
      </c>
      <c r="AC29" s="7">
        <v>3.2522131368860698</v>
      </c>
    </row>
    <row r="30" spans="1:29" x14ac:dyDescent="0.2">
      <c r="A30" s="14"/>
      <c r="B30" s="8">
        <v>1.5</v>
      </c>
      <c r="C30" s="8">
        <v>3.1182110779016199</v>
      </c>
      <c r="D30" s="8">
        <v>1.13258755676602</v>
      </c>
      <c r="E30" s="8">
        <v>6.4834166670266704</v>
      </c>
      <c r="F30" s="8">
        <v>9.8003439577213997E-2</v>
      </c>
      <c r="G30" s="8">
        <v>2.9006184016667902</v>
      </c>
      <c r="H30" s="3">
        <v>0.24884185313071</v>
      </c>
      <c r="I30" s="8">
        <v>3.2636379397646902</v>
      </c>
      <c r="J30" s="11"/>
      <c r="K30" s="14"/>
      <c r="L30" s="8">
        <v>1.5</v>
      </c>
      <c r="M30" s="8">
        <v>3.8597373523817802</v>
      </c>
      <c r="N30" s="8">
        <v>1.4051301093772099</v>
      </c>
      <c r="O30" s="8">
        <v>8.9132875755940599</v>
      </c>
      <c r="P30" s="8">
        <v>0.49117587295778598</v>
      </c>
      <c r="Q30" s="8">
        <v>1.9235309736695001</v>
      </c>
      <c r="R30" s="3">
        <v>0.13399352499981099</v>
      </c>
      <c r="S30" s="3">
        <v>0.459121738654935</v>
      </c>
      <c r="U30" s="14"/>
      <c r="V30" s="8">
        <v>1.5</v>
      </c>
      <c r="W30" s="8">
        <v>3.2342654771411099</v>
      </c>
      <c r="X30" s="8">
        <v>1.1264865117699501</v>
      </c>
      <c r="Y30" s="8">
        <v>6.2684955574607804</v>
      </c>
      <c r="Z30" s="8">
        <v>0.131338825078747</v>
      </c>
      <c r="AA30" s="8">
        <v>2.8401416838687998</v>
      </c>
      <c r="AB30" s="3">
        <v>0.232242802937381</v>
      </c>
      <c r="AC30" s="8">
        <v>3.0847547614456698</v>
      </c>
    </row>
    <row r="31" spans="1:29" x14ac:dyDescent="0.2">
      <c r="A31" s="11"/>
      <c r="B31" s="11" t="s">
        <v>16</v>
      </c>
      <c r="C31" s="15">
        <f>AVERAGE(C27:C30)</f>
        <v>3.1219204971842949</v>
      </c>
      <c r="D31" s="15">
        <f t="shared" ref="D31:I31" si="18">AVERAGE(D27:D30)</f>
        <v>1.1011561429146131</v>
      </c>
      <c r="E31" s="15">
        <f t="shared" si="18"/>
        <v>6.2329179939021229</v>
      </c>
      <c r="F31" s="15">
        <f t="shared" si="18"/>
        <v>0.10527654701459915</v>
      </c>
      <c r="G31" s="15">
        <f t="shared" si="18"/>
        <v>2.8838905791153553</v>
      </c>
      <c r="H31" s="15">
        <f t="shared" si="18"/>
        <v>0.241497076100603</v>
      </c>
      <c r="I31" s="15">
        <f t="shared" si="18"/>
        <v>3.1212671766973403</v>
      </c>
      <c r="J31" s="15"/>
      <c r="K31" s="15"/>
      <c r="L31" s="15" t="s">
        <v>16</v>
      </c>
      <c r="M31" s="15">
        <f>AVERAGE(M27:M30)</f>
        <v>3.8719512330016075</v>
      </c>
      <c r="N31" s="15">
        <f t="shared" ref="N31:S31" si="19">AVERAGE(N27:N30)</f>
        <v>1.3848856583684399</v>
      </c>
      <c r="O31" s="15">
        <f t="shared" si="19"/>
        <v>8.682235189328857</v>
      </c>
      <c r="P31" s="15">
        <f t="shared" si="19"/>
        <v>0.52484269390338367</v>
      </c>
      <c r="Q31" s="15">
        <f t="shared" si="19"/>
        <v>1.8899550959597027</v>
      </c>
      <c r="R31" s="15">
        <f t="shared" si="19"/>
        <v>0.12769069949844156</v>
      </c>
      <c r="S31" s="15">
        <f t="shared" si="19"/>
        <v>0.48303816548537304</v>
      </c>
      <c r="U31" s="11"/>
      <c r="V31" s="11" t="s">
        <v>16</v>
      </c>
      <c r="W31" s="15">
        <f>AVERAGE(W27:W30)</f>
        <v>3.2512233485751771</v>
      </c>
      <c r="X31" s="15">
        <f t="shared" ref="X31:AC31" si="20">AVERAGE(X27:X30)</f>
        <v>1.1210155519424645</v>
      </c>
      <c r="Y31" s="15">
        <f t="shared" si="20"/>
        <v>6.1572912411534908</v>
      </c>
      <c r="Z31" s="15">
        <f t="shared" si="20"/>
        <v>0.13442384711648853</v>
      </c>
      <c r="AA31" s="15">
        <f t="shared" si="20"/>
        <v>2.8194399781615003</v>
      </c>
      <c r="AB31" s="15">
        <f t="shared" si="20"/>
        <v>0.233523767580497</v>
      </c>
      <c r="AC31" s="15">
        <f t="shared" si="20"/>
        <v>3.0403395828700273</v>
      </c>
    </row>
    <row r="32" spans="1:29" x14ac:dyDescent="0.2">
      <c r="A32" s="11"/>
      <c r="B32" s="11" t="s">
        <v>17</v>
      </c>
      <c r="C32" s="15">
        <f>STDEV(C27:C30)</f>
        <v>5.0979853096335653E-2</v>
      </c>
      <c r="D32" s="15">
        <f t="shared" ref="D32:I32" si="21">STDEV(D27:D30)</f>
        <v>8.9642692799355245E-2</v>
      </c>
      <c r="E32" s="15">
        <f t="shared" si="21"/>
        <v>0.73839096095045464</v>
      </c>
      <c r="F32" s="15">
        <f t="shared" si="21"/>
        <v>2.923516367187266E-2</v>
      </c>
      <c r="G32" s="15">
        <f t="shared" si="21"/>
        <v>2.2039864634779211E-2</v>
      </c>
      <c r="H32" s="15">
        <f t="shared" si="21"/>
        <v>2.652236432766698E-2</v>
      </c>
      <c r="I32" s="15">
        <f t="shared" si="21"/>
        <v>0.31605663061453948</v>
      </c>
      <c r="J32" s="15"/>
      <c r="K32" s="15"/>
      <c r="L32" s="15" t="s">
        <v>17</v>
      </c>
      <c r="M32" s="15">
        <f>STDEV(M27:M30)</f>
        <v>5.5180080763668621E-2</v>
      </c>
      <c r="N32" s="15">
        <f t="shared" ref="N32:S32" si="22">STDEV(N27:N30)</f>
        <v>9.5070026237614888E-2</v>
      </c>
      <c r="O32" s="15">
        <f t="shared" si="22"/>
        <v>1.0039702614574491</v>
      </c>
      <c r="P32" s="15">
        <f t="shared" si="22"/>
        <v>0.12826456565933703</v>
      </c>
      <c r="Q32" s="15">
        <f t="shared" si="22"/>
        <v>6.1964633739127639E-2</v>
      </c>
      <c r="R32" s="15">
        <f t="shared" si="22"/>
        <v>1.9868057473067212E-2</v>
      </c>
      <c r="S32" s="15">
        <f t="shared" si="22"/>
        <v>2.766526363275626E-2</v>
      </c>
      <c r="U32" s="11"/>
      <c r="V32" s="11" t="s">
        <v>17</v>
      </c>
      <c r="W32" s="15">
        <f>STDEV(W27:W30)</f>
        <v>6.0130743087694928E-2</v>
      </c>
      <c r="X32" s="15">
        <f t="shared" ref="X32:AC32" si="23">STDEV(X27:X30)</f>
        <v>8.7924634911081476E-2</v>
      </c>
      <c r="Y32" s="15">
        <f t="shared" si="23"/>
        <v>0.68978687394992944</v>
      </c>
      <c r="Z32" s="15">
        <f t="shared" si="23"/>
        <v>3.1738865168666801E-2</v>
      </c>
      <c r="AA32" s="15">
        <f t="shared" si="23"/>
        <v>2.2660801535928327E-2</v>
      </c>
      <c r="AB32" s="15">
        <f t="shared" si="23"/>
        <v>2.542081618927336E-2</v>
      </c>
      <c r="AC32" s="15">
        <f t="shared" si="23"/>
        <v>0.29316957285671574</v>
      </c>
    </row>
    <row r="33" spans="1:29" x14ac:dyDescent="0.2">
      <c r="A33" s="11" t="s">
        <v>6</v>
      </c>
      <c r="B33" s="12" t="s">
        <v>7</v>
      </c>
      <c r="C33" s="12" t="s">
        <v>14</v>
      </c>
      <c r="D33" s="12" t="s">
        <v>1</v>
      </c>
      <c r="E33" s="12" t="s">
        <v>2</v>
      </c>
      <c r="F33" s="12" t="s">
        <v>3</v>
      </c>
      <c r="G33" s="12" t="s">
        <v>15</v>
      </c>
      <c r="H33" s="12" t="s">
        <v>4</v>
      </c>
      <c r="I33" s="12" t="s">
        <v>5</v>
      </c>
      <c r="J33" s="11"/>
      <c r="K33" s="11" t="s">
        <v>6</v>
      </c>
      <c r="L33" s="12" t="s">
        <v>7</v>
      </c>
      <c r="M33" s="12" t="s">
        <v>14</v>
      </c>
      <c r="N33" s="12" t="s">
        <v>1</v>
      </c>
      <c r="O33" s="12" t="s">
        <v>2</v>
      </c>
      <c r="P33" s="12" t="s">
        <v>3</v>
      </c>
      <c r="Q33" s="12" t="s">
        <v>15</v>
      </c>
      <c r="R33" s="12" t="s">
        <v>4</v>
      </c>
      <c r="S33" s="12" t="s">
        <v>5</v>
      </c>
      <c r="U33" s="11" t="s">
        <v>6</v>
      </c>
      <c r="V33" s="12" t="s">
        <v>7</v>
      </c>
      <c r="W33" s="12" t="s">
        <v>14</v>
      </c>
      <c r="X33" s="12" t="s">
        <v>1</v>
      </c>
      <c r="Y33" s="12" t="s">
        <v>2</v>
      </c>
      <c r="Z33" s="12" t="s">
        <v>3</v>
      </c>
      <c r="AA33" s="12" t="s">
        <v>15</v>
      </c>
      <c r="AB33" s="12" t="s">
        <v>4</v>
      </c>
      <c r="AC33" s="12" t="s">
        <v>5</v>
      </c>
    </row>
    <row r="34" spans="1:29" x14ac:dyDescent="0.2">
      <c r="A34" s="14" t="s">
        <v>8</v>
      </c>
      <c r="B34" s="7">
        <v>0</v>
      </c>
      <c r="C34" s="11">
        <v>3.0250014526351401</v>
      </c>
      <c r="D34" s="11">
        <v>0.65743907516856404</v>
      </c>
      <c r="E34" s="11">
        <v>4.2575723869106703</v>
      </c>
      <c r="F34" s="11">
        <v>0</v>
      </c>
      <c r="G34" s="11">
        <v>2.6109469448520199</v>
      </c>
      <c r="H34" s="2">
        <v>0.105776584674212</v>
      </c>
      <c r="I34" s="11">
        <v>1.41451363591432</v>
      </c>
      <c r="J34" s="11"/>
      <c r="K34" s="14" t="s">
        <v>8</v>
      </c>
      <c r="L34" s="7">
        <v>0</v>
      </c>
      <c r="M34" s="11">
        <v>4.1185198446294198</v>
      </c>
      <c r="N34" s="11">
        <v>0.94370424093316696</v>
      </c>
      <c r="O34" s="11">
        <v>6.8276688954174301</v>
      </c>
      <c r="P34" s="11">
        <v>0</v>
      </c>
      <c r="Q34" s="11">
        <v>1.1549161552671301</v>
      </c>
      <c r="R34" s="2">
        <v>2.9895247107830099E-2</v>
      </c>
      <c r="S34" s="2">
        <v>0.72343487457689404</v>
      </c>
      <c r="U34" s="14" t="s">
        <v>8</v>
      </c>
      <c r="V34" s="7">
        <v>0</v>
      </c>
      <c r="W34" s="11">
        <v>3.0922243518363501</v>
      </c>
      <c r="X34" s="11">
        <v>0.66825613764813596</v>
      </c>
      <c r="Y34" s="11">
        <v>4.2924352711492304</v>
      </c>
      <c r="Z34" s="11">
        <v>0</v>
      </c>
      <c r="AA34" s="11">
        <v>2.57727970435332</v>
      </c>
      <c r="AB34" s="2">
        <v>0.104497498022046</v>
      </c>
      <c r="AC34" s="11">
        <v>1.4060532489025199</v>
      </c>
    </row>
    <row r="35" spans="1:29" x14ac:dyDescent="0.2">
      <c r="A35" s="14"/>
      <c r="B35" s="8">
        <v>0.5</v>
      </c>
      <c r="C35" s="13">
        <v>3.00338384736785</v>
      </c>
      <c r="D35" s="13">
        <v>0.66512294546087702</v>
      </c>
      <c r="E35" s="13">
        <v>4.3286892063380797</v>
      </c>
      <c r="F35" s="13">
        <v>3.6908816614708198E-2</v>
      </c>
      <c r="G35" s="13">
        <v>2.6178827349315599</v>
      </c>
      <c r="H35" s="4">
        <v>0.12964643584911101</v>
      </c>
      <c r="I35" s="13">
        <v>1.7519685299771399</v>
      </c>
      <c r="J35" s="11"/>
      <c r="K35" s="14"/>
      <c r="L35" s="8">
        <v>0.5</v>
      </c>
      <c r="M35" s="13">
        <v>4.0453725622118197</v>
      </c>
      <c r="N35" s="13">
        <v>0.90552411407908595</v>
      </c>
      <c r="O35" s="13">
        <v>6.6008891369474796</v>
      </c>
      <c r="P35" s="13">
        <v>0.20442488705124401</v>
      </c>
      <c r="Q35" s="13">
        <v>1.2637953714474499</v>
      </c>
      <c r="R35" s="4">
        <v>4.32407318638914E-2</v>
      </c>
      <c r="S35" s="4">
        <v>0.64881710135157</v>
      </c>
      <c r="U35" s="14"/>
      <c r="V35" s="8">
        <v>0.5</v>
      </c>
      <c r="W35" s="13">
        <v>3.0718953246367802</v>
      </c>
      <c r="X35" s="13">
        <v>0.67569971665096895</v>
      </c>
      <c r="Y35" s="13">
        <v>4.3636346200364597</v>
      </c>
      <c r="Z35" s="13">
        <v>4.5911684358469498E-2</v>
      </c>
      <c r="AA35" s="13">
        <v>2.5817540978682798</v>
      </c>
      <c r="AB35" s="4">
        <v>0.12792860647285501</v>
      </c>
      <c r="AC35" s="13">
        <v>1.73748138266628</v>
      </c>
    </row>
    <row r="36" spans="1:29" x14ac:dyDescent="0.2">
      <c r="A36" s="14"/>
      <c r="B36" s="7">
        <v>1</v>
      </c>
      <c r="C36" s="11">
        <v>2.9896728649192799</v>
      </c>
      <c r="D36" s="11">
        <v>0.65886006251194695</v>
      </c>
      <c r="E36" s="11">
        <v>4.4057002192831298</v>
      </c>
      <c r="F36" s="11">
        <v>5.5050378796585196E-3</v>
      </c>
      <c r="G36" s="11">
        <v>2.62157608316594</v>
      </c>
      <c r="H36" s="2">
        <v>0.12586404334033499</v>
      </c>
      <c r="I36" s="11">
        <v>1.73373629474039</v>
      </c>
      <c r="J36" s="11"/>
      <c r="K36" s="14"/>
      <c r="L36" s="7">
        <v>1</v>
      </c>
      <c r="M36" s="11">
        <v>4.0480980349904003</v>
      </c>
      <c r="N36" s="11">
        <v>0.90504751478761003</v>
      </c>
      <c r="O36" s="11">
        <v>6.7248770256433499</v>
      </c>
      <c r="P36" s="11">
        <v>3.3094796075069002E-2</v>
      </c>
      <c r="Q36" s="11">
        <v>1.24954438001597</v>
      </c>
      <c r="R36" s="2">
        <v>4.1236152223117203E-2</v>
      </c>
      <c r="S36" s="2">
        <v>0.65069328472236898</v>
      </c>
      <c r="U36" s="14"/>
      <c r="V36" s="7">
        <v>1</v>
      </c>
      <c r="W36" s="11">
        <v>3.0571156677151601</v>
      </c>
      <c r="X36" s="11">
        <v>0.66912820995589595</v>
      </c>
      <c r="Y36" s="11">
        <v>4.4396902107081297</v>
      </c>
      <c r="Z36" s="11">
        <v>6.9821618517683301E-3</v>
      </c>
      <c r="AA36" s="11">
        <v>2.5864173542403699</v>
      </c>
      <c r="AB36" s="2">
        <v>0.124244520615562</v>
      </c>
      <c r="AC36" s="11">
        <v>1.71988478220125</v>
      </c>
    </row>
    <row r="37" spans="1:29" x14ac:dyDescent="0.2">
      <c r="A37" s="14"/>
      <c r="B37" s="8">
        <v>1.5</v>
      </c>
      <c r="C37" s="13">
        <v>2.8357077514779401</v>
      </c>
      <c r="D37" s="13">
        <v>0.62605380650356901</v>
      </c>
      <c r="E37" s="13">
        <v>3.4832668957468398</v>
      </c>
      <c r="F37" s="13">
        <v>0.18917314404292801</v>
      </c>
      <c r="G37" s="13">
        <v>2.7900598432982702</v>
      </c>
      <c r="H37" s="4">
        <v>0.18499240248277901</v>
      </c>
      <c r="I37" s="13">
        <v>2.32606345805402</v>
      </c>
      <c r="J37" s="11"/>
      <c r="K37" s="14"/>
      <c r="L37" s="8">
        <v>1.5</v>
      </c>
      <c r="M37" s="13">
        <v>3.82776129259411</v>
      </c>
      <c r="N37" s="13">
        <v>0.84204937847576</v>
      </c>
      <c r="O37" s="13">
        <v>5.3316568440328398</v>
      </c>
      <c r="P37" s="13">
        <v>0.83818266324145596</v>
      </c>
      <c r="Q37" s="13">
        <v>1.60691321941664</v>
      </c>
      <c r="R37" s="4">
        <v>7.9858019181184903E-2</v>
      </c>
      <c r="S37" s="4">
        <v>0.61545960738788796</v>
      </c>
      <c r="U37" s="14"/>
      <c r="V37" s="8">
        <v>1.5</v>
      </c>
      <c r="W37" s="13">
        <v>2.9061764956143699</v>
      </c>
      <c r="X37" s="13">
        <v>0.63788542642132395</v>
      </c>
      <c r="Y37" s="13">
        <v>3.52913948682344</v>
      </c>
      <c r="Z37" s="13">
        <v>0.224829949579093</v>
      </c>
      <c r="AA37" s="13">
        <v>2.7507082788477</v>
      </c>
      <c r="AB37" s="4">
        <v>0.18238852858942001</v>
      </c>
      <c r="AC37" s="13">
        <v>2.30179384073009</v>
      </c>
    </row>
    <row r="38" spans="1:29" x14ac:dyDescent="0.2">
      <c r="A38" s="11"/>
      <c r="B38" s="11" t="s">
        <v>16</v>
      </c>
      <c r="C38" s="15">
        <f>AVERAGE(C34:C37)</f>
        <v>2.9634414791000525</v>
      </c>
      <c r="D38" s="15">
        <f t="shared" ref="D38:I38" si="24">AVERAGE(D34:D37)</f>
        <v>0.6518689724112392</v>
      </c>
      <c r="E38" s="15">
        <f t="shared" si="24"/>
        <v>4.1188071770696801</v>
      </c>
      <c r="F38" s="15">
        <f t="shared" si="24"/>
        <v>5.7896749634323681E-2</v>
      </c>
      <c r="G38" s="15">
        <f t="shared" si="24"/>
        <v>2.6601164015619476</v>
      </c>
      <c r="H38" s="15">
        <f t="shared" si="24"/>
        <v>0.13656986658660925</v>
      </c>
      <c r="I38" s="15">
        <f t="shared" si="24"/>
        <v>1.8065704796714674</v>
      </c>
      <c r="J38" s="15"/>
      <c r="K38" s="15"/>
      <c r="L38" s="15" t="s">
        <v>16</v>
      </c>
      <c r="M38" s="15">
        <f>AVERAGE(M34:M37)</f>
        <v>4.0099379336064374</v>
      </c>
      <c r="N38" s="15">
        <f t="shared" ref="N38:S38" si="25">AVERAGE(N34:N37)</f>
        <v>0.89908131206890574</v>
      </c>
      <c r="O38" s="15">
        <f t="shared" si="25"/>
        <v>6.3712729755102746</v>
      </c>
      <c r="P38" s="15">
        <f t="shared" si="25"/>
        <v>0.26892558659194221</v>
      </c>
      <c r="Q38" s="15">
        <f t="shared" si="25"/>
        <v>1.3187922815367976</v>
      </c>
      <c r="R38" s="15">
        <f t="shared" si="25"/>
        <v>4.8557537594005898E-2</v>
      </c>
      <c r="S38" s="15">
        <f t="shared" si="25"/>
        <v>0.65960121700968033</v>
      </c>
      <c r="U38" s="11"/>
      <c r="V38" s="11" t="s">
        <v>16</v>
      </c>
      <c r="W38" s="15">
        <f>AVERAGE(W34:W37)</f>
        <v>3.0318529599506649</v>
      </c>
      <c r="X38" s="15">
        <f t="shared" ref="X38:AC38" si="26">AVERAGE(X34:X37)</f>
        <v>0.6627423726690812</v>
      </c>
      <c r="Y38" s="15">
        <f t="shared" si="26"/>
        <v>4.1562248971793148</v>
      </c>
      <c r="Z38" s="15">
        <f t="shared" si="26"/>
        <v>6.9430948947332705E-2</v>
      </c>
      <c r="AA38" s="15">
        <f t="shared" si="26"/>
        <v>2.6240398588274174</v>
      </c>
      <c r="AB38" s="15">
        <f t="shared" si="26"/>
        <v>0.13476478842497075</v>
      </c>
      <c r="AC38" s="15">
        <f t="shared" si="26"/>
        <v>1.7913033136250349</v>
      </c>
    </row>
    <row r="39" spans="1:29" x14ac:dyDescent="0.2">
      <c r="A39" s="11"/>
      <c r="B39" s="11" t="s">
        <v>17</v>
      </c>
      <c r="C39" s="15">
        <f>STDEV(C34:C37)</f>
        <v>8.6388683477097106E-2</v>
      </c>
      <c r="D39" s="15">
        <f t="shared" ref="D39:I39" si="27">STDEV(D34:D37)</f>
        <v>1.7530848790674063E-2</v>
      </c>
      <c r="E39" s="15">
        <f t="shared" si="27"/>
        <v>0.42798960911313361</v>
      </c>
      <c r="F39" s="15">
        <f t="shared" si="27"/>
        <v>8.9014811764040691E-2</v>
      </c>
      <c r="G39" s="15">
        <f t="shared" si="27"/>
        <v>8.6740940473233039E-2</v>
      </c>
      <c r="H39" s="15">
        <f t="shared" si="27"/>
        <v>3.3938752373992943E-2</v>
      </c>
      <c r="I39" s="15">
        <f t="shared" si="27"/>
        <v>0.37941521438945569</v>
      </c>
      <c r="J39" s="15"/>
      <c r="K39" s="15"/>
      <c r="L39" s="15" t="s">
        <v>17</v>
      </c>
      <c r="M39" s="15">
        <f>STDEV(M34:M37)</f>
        <v>0.12608220357366456</v>
      </c>
      <c r="N39" s="15">
        <f t="shared" ref="N39:S39" si="28">STDEV(N34:N37)</f>
        <v>4.2114734169175515E-2</v>
      </c>
      <c r="O39" s="15">
        <f t="shared" si="28"/>
        <v>0.69925158619762329</v>
      </c>
      <c r="P39" s="15">
        <f t="shared" si="28"/>
        <v>0.38993635909655117</v>
      </c>
      <c r="Q39" s="15">
        <f t="shared" si="28"/>
        <v>0.19806479713326616</v>
      </c>
      <c r="R39" s="15">
        <f t="shared" si="28"/>
        <v>2.1678501952399631E-2</v>
      </c>
      <c r="S39" s="15">
        <f t="shared" si="28"/>
        <v>4.5529719036302124E-2</v>
      </c>
      <c r="U39" s="11"/>
      <c r="V39" s="11" t="s">
        <v>17</v>
      </c>
      <c r="W39" s="15">
        <f>STDEV(W34:W37)</f>
        <v>8.5011516905136961E-2</v>
      </c>
      <c r="X39" s="15">
        <f t="shared" ref="X39:AC39" si="29">STDEV(X34:X37)</f>
        <v>1.6901095249783667E-2</v>
      </c>
      <c r="Y39" s="15">
        <f t="shared" si="29"/>
        <v>0.42235875547054669</v>
      </c>
      <c r="Z39" s="15">
        <f t="shared" si="29"/>
        <v>0.10555016640691926</v>
      </c>
      <c r="AA39" s="15">
        <f t="shared" si="29"/>
        <v>8.4527981773634991E-2</v>
      </c>
      <c r="AB39" s="15">
        <f t="shared" si="29"/>
        <v>3.3374336018614045E-2</v>
      </c>
      <c r="AC39" s="15">
        <f t="shared" si="29"/>
        <v>0.37283401021346385</v>
      </c>
    </row>
    <row r="40" spans="1:29" x14ac:dyDescent="0.2">
      <c r="A40" s="11" t="s">
        <v>6</v>
      </c>
      <c r="B40" s="12" t="s">
        <v>7</v>
      </c>
      <c r="C40" s="12" t="s">
        <v>14</v>
      </c>
      <c r="D40" s="12" t="s">
        <v>1</v>
      </c>
      <c r="E40" s="12" t="s">
        <v>2</v>
      </c>
      <c r="F40" s="12" t="s">
        <v>3</v>
      </c>
      <c r="G40" s="12" t="s">
        <v>15</v>
      </c>
      <c r="H40" s="12" t="s">
        <v>4</v>
      </c>
      <c r="I40" s="12" t="s">
        <v>5</v>
      </c>
      <c r="J40" s="11"/>
      <c r="K40" s="11" t="s">
        <v>6</v>
      </c>
      <c r="L40" s="12" t="s">
        <v>7</v>
      </c>
      <c r="M40" s="12" t="s">
        <v>14</v>
      </c>
      <c r="N40" s="12" t="s">
        <v>1</v>
      </c>
      <c r="O40" s="12" t="s">
        <v>2</v>
      </c>
      <c r="P40" s="12" t="s">
        <v>3</v>
      </c>
      <c r="Q40" s="12" t="s">
        <v>15</v>
      </c>
      <c r="R40" s="12" t="s">
        <v>4</v>
      </c>
      <c r="S40" s="12" t="s">
        <v>5</v>
      </c>
      <c r="U40" s="11" t="s">
        <v>6</v>
      </c>
      <c r="V40" s="12" t="s">
        <v>7</v>
      </c>
      <c r="W40" s="12" t="s">
        <v>14</v>
      </c>
      <c r="X40" s="12" t="s">
        <v>1</v>
      </c>
      <c r="Y40" s="12" t="s">
        <v>2</v>
      </c>
      <c r="Z40" s="12" t="s">
        <v>3</v>
      </c>
      <c r="AA40" s="12" t="s">
        <v>15</v>
      </c>
      <c r="AB40" s="12" t="s">
        <v>4</v>
      </c>
      <c r="AC40" s="12" t="s">
        <v>5</v>
      </c>
    </row>
    <row r="41" spans="1:29" x14ac:dyDescent="0.2">
      <c r="A41" s="14" t="s">
        <v>9</v>
      </c>
      <c r="B41" s="7">
        <v>0</v>
      </c>
      <c r="C41" s="11">
        <v>2.5485660100490501</v>
      </c>
      <c r="D41" s="11">
        <v>0.441292887765245</v>
      </c>
      <c r="E41" s="11">
        <v>2.7937673590352401</v>
      </c>
      <c r="F41" s="11">
        <v>1.02787533994973E-2</v>
      </c>
      <c r="G41" s="11">
        <v>2.9016819107747498</v>
      </c>
      <c r="H41" s="2">
        <v>8.7189102976130306E-2</v>
      </c>
      <c r="I41" s="11">
        <v>1.16510759781481</v>
      </c>
      <c r="J41" s="11"/>
      <c r="K41" s="14" t="s">
        <v>9</v>
      </c>
      <c r="L41" s="7">
        <v>0</v>
      </c>
      <c r="M41" s="11">
        <v>3.9558451163409898</v>
      </c>
      <c r="N41" s="11">
        <v>0.70233964170852003</v>
      </c>
      <c r="O41" s="11">
        <v>5.2115821710476702</v>
      </c>
      <c r="P41" s="11">
        <v>6.7432576061782601E-2</v>
      </c>
      <c r="Q41" s="11">
        <v>1.26315720376233</v>
      </c>
      <c r="R41" s="2">
        <v>2.16493367159497E-2</v>
      </c>
      <c r="S41" s="2">
        <v>0.94588240960525605</v>
      </c>
      <c r="U41" s="14" t="s">
        <v>9</v>
      </c>
      <c r="V41" s="7">
        <v>0</v>
      </c>
      <c r="W41" s="11">
        <v>2.5945569047395902</v>
      </c>
      <c r="X41" s="11">
        <v>0.44718016249477599</v>
      </c>
      <c r="Y41" s="11">
        <v>2.8281819306224598</v>
      </c>
      <c r="Z41" s="11">
        <v>1.2723242934204499E-2</v>
      </c>
      <c r="AA41" s="11">
        <v>2.8809974124936302</v>
      </c>
      <c r="AB41" s="2">
        <v>8.6596625455191603E-2</v>
      </c>
      <c r="AC41" s="11">
        <v>1.1638244998157801</v>
      </c>
    </row>
    <row r="42" spans="1:29" x14ac:dyDescent="0.2">
      <c r="A42" s="14"/>
      <c r="B42" s="8">
        <v>0.5</v>
      </c>
      <c r="C42" s="13">
        <v>2.7186563397368402</v>
      </c>
      <c r="D42" s="13">
        <v>0.442102757692658</v>
      </c>
      <c r="E42" s="13">
        <v>2.97477242416281</v>
      </c>
      <c r="F42" s="13">
        <v>1.0642338462257799E-2</v>
      </c>
      <c r="G42" s="13">
        <v>2.6846502536097701</v>
      </c>
      <c r="H42" s="4">
        <v>7.1748766148493195E-2</v>
      </c>
      <c r="I42" s="13">
        <v>0.93909572121527696</v>
      </c>
      <c r="J42" s="11"/>
      <c r="K42" s="14"/>
      <c r="L42" s="8">
        <v>0.5</v>
      </c>
      <c r="M42" s="13">
        <v>4.1179888934314297</v>
      </c>
      <c r="N42" s="13">
        <v>0.68671461705993597</v>
      </c>
      <c r="O42" s="13">
        <v>5.1834865465819</v>
      </c>
      <c r="P42" s="13">
        <v>6.78302250482435E-2</v>
      </c>
      <c r="Q42" s="13">
        <v>0.99033492804644097</v>
      </c>
      <c r="R42" s="4">
        <v>1.3988644761693999E-2</v>
      </c>
      <c r="S42" s="4">
        <v>0.789904501023725</v>
      </c>
      <c r="U42" s="14"/>
      <c r="V42" s="8">
        <v>0.5</v>
      </c>
      <c r="W42" s="13">
        <v>2.7608949138861898</v>
      </c>
      <c r="X42" s="13">
        <v>0.44720855808448301</v>
      </c>
      <c r="Y42" s="13">
        <v>3.00367867080198</v>
      </c>
      <c r="Z42" s="13">
        <v>1.27477003235464E-2</v>
      </c>
      <c r="AA42" s="13">
        <v>2.6643670947108702</v>
      </c>
      <c r="AB42" s="4">
        <v>7.1227563907826599E-2</v>
      </c>
      <c r="AC42" s="13">
        <v>0.93807982640631205</v>
      </c>
    </row>
    <row r="43" spans="1:29" x14ac:dyDescent="0.2">
      <c r="A43" s="14"/>
      <c r="B43" s="7">
        <v>1</v>
      </c>
      <c r="C43" s="11">
        <v>2.6318652308536401</v>
      </c>
      <c r="D43" s="11">
        <v>0.42906520756128802</v>
      </c>
      <c r="E43" s="11">
        <v>2.8575506484162201</v>
      </c>
      <c r="F43" s="11">
        <v>3.8387285074874003E-2</v>
      </c>
      <c r="G43" s="11">
        <v>2.7410785773504398</v>
      </c>
      <c r="H43" s="2">
        <v>9.4484489166223096E-2</v>
      </c>
      <c r="I43" s="11">
        <v>1.24040176259649</v>
      </c>
      <c r="J43" s="11"/>
      <c r="K43" s="14"/>
      <c r="L43" s="7">
        <v>1</v>
      </c>
      <c r="M43" s="11">
        <v>3.96926671811645</v>
      </c>
      <c r="N43" s="11">
        <v>0.63834959072790998</v>
      </c>
      <c r="O43" s="11">
        <v>4.7504892324922396</v>
      </c>
      <c r="P43" s="11">
        <v>0.23192582416776999</v>
      </c>
      <c r="Q43" s="11">
        <v>1.1797089896127</v>
      </c>
      <c r="R43" s="2">
        <v>2.4231459083274301E-2</v>
      </c>
      <c r="S43" s="2">
        <v>0.84042750426109103</v>
      </c>
      <c r="U43" s="14"/>
      <c r="V43" s="7">
        <v>1</v>
      </c>
      <c r="W43" s="11">
        <v>2.6736187119851702</v>
      </c>
      <c r="X43" s="11">
        <v>0.43388749521028103</v>
      </c>
      <c r="Y43" s="11">
        <v>2.8860224530175098</v>
      </c>
      <c r="Z43" s="11">
        <v>4.62297204630377E-2</v>
      </c>
      <c r="AA43" s="11">
        <v>2.71983507842089</v>
      </c>
      <c r="AB43" s="2">
        <v>9.3758302668877497E-2</v>
      </c>
      <c r="AC43" s="11">
        <v>1.2371912814839101</v>
      </c>
    </row>
    <row r="44" spans="1:29" x14ac:dyDescent="0.2">
      <c r="A44" s="14"/>
      <c r="B44" s="8">
        <v>1.5</v>
      </c>
      <c r="C44" s="13">
        <v>2.5743164285520499</v>
      </c>
      <c r="D44" s="13">
        <v>0.402184427991022</v>
      </c>
      <c r="E44" s="13">
        <v>2.2879382783467102</v>
      </c>
      <c r="F44" s="13">
        <v>0.17362621218260099</v>
      </c>
      <c r="G44" s="13">
        <v>2.8017698878322501</v>
      </c>
      <c r="H44" s="4">
        <v>8.3413377974953296E-2</v>
      </c>
      <c r="I44" s="13">
        <v>0.98562420640045401</v>
      </c>
      <c r="J44" s="11"/>
      <c r="K44" s="14"/>
      <c r="L44" s="8">
        <v>1.5</v>
      </c>
      <c r="M44" s="13">
        <v>3.9968696552027301</v>
      </c>
      <c r="N44" s="13">
        <v>0.62718988884717397</v>
      </c>
      <c r="O44" s="13">
        <v>4.2184667048895399</v>
      </c>
      <c r="P44" s="13">
        <v>0.835480708031064</v>
      </c>
      <c r="Q44" s="13">
        <v>1.1546023688262099</v>
      </c>
      <c r="R44" s="4">
        <v>1.8524079091783E-2</v>
      </c>
      <c r="S44" s="4">
        <v>0.91527332866298805</v>
      </c>
      <c r="U44" s="14"/>
      <c r="V44" s="8">
        <v>1.5</v>
      </c>
      <c r="W44" s="13">
        <v>2.6155654592315201</v>
      </c>
      <c r="X44" s="13">
        <v>0.40696745663405998</v>
      </c>
      <c r="Y44" s="13">
        <v>2.3200036863729698</v>
      </c>
      <c r="Z44" s="13">
        <v>0.198119827284993</v>
      </c>
      <c r="AA44" s="13">
        <v>2.7819199999409201</v>
      </c>
      <c r="AB44" s="4">
        <v>8.2838937204263705E-2</v>
      </c>
      <c r="AC44" s="13">
        <v>0.98575402114558996</v>
      </c>
    </row>
    <row r="45" spans="1:29" x14ac:dyDescent="0.2">
      <c r="A45" s="11"/>
      <c r="B45" s="11" t="s">
        <v>16</v>
      </c>
      <c r="C45" s="15">
        <f>AVERAGE(C41:C44)</f>
        <v>2.6183510022978953</v>
      </c>
      <c r="D45" s="15">
        <f t="shared" ref="D45:I45" si="30">AVERAGE(D41:D44)</f>
        <v>0.42866132025255327</v>
      </c>
      <c r="E45" s="15">
        <f t="shared" si="30"/>
        <v>2.7285071774902447</v>
      </c>
      <c r="F45" s="15">
        <f t="shared" si="30"/>
        <v>5.8233647279807524E-2</v>
      </c>
      <c r="G45" s="15">
        <f t="shared" si="30"/>
        <v>2.7822951573918027</v>
      </c>
      <c r="H45" s="15">
        <f t="shared" si="30"/>
        <v>8.420893406644997E-2</v>
      </c>
      <c r="I45" s="15">
        <f t="shared" si="30"/>
        <v>1.0825573220067577</v>
      </c>
      <c r="J45" s="15"/>
      <c r="K45" s="15"/>
      <c r="L45" s="15" t="s">
        <v>16</v>
      </c>
      <c r="M45" s="15">
        <f>AVERAGE(M41:M44)</f>
        <v>4.0099925957728999</v>
      </c>
      <c r="N45" s="15">
        <f t="shared" ref="N45:S45" si="31">AVERAGE(N41:N44)</f>
        <v>0.66364843458588507</v>
      </c>
      <c r="O45" s="15">
        <f t="shared" si="31"/>
        <v>4.8410061637528372</v>
      </c>
      <c r="P45" s="15">
        <f t="shared" si="31"/>
        <v>0.30066733332721501</v>
      </c>
      <c r="Q45" s="15">
        <f t="shared" si="31"/>
        <v>1.1469508725619202</v>
      </c>
      <c r="R45" s="15">
        <f t="shared" si="31"/>
        <v>1.959837991317525E-2</v>
      </c>
      <c r="S45" s="15">
        <f t="shared" si="31"/>
        <v>0.87287193588826506</v>
      </c>
      <c r="U45" s="11"/>
      <c r="V45" s="11" t="s">
        <v>16</v>
      </c>
      <c r="W45" s="15">
        <f>AVERAGE(W41:W44)</f>
        <v>2.6611589974606176</v>
      </c>
      <c r="X45" s="15">
        <f t="shared" ref="X45:AC45" si="32">AVERAGE(X41:X44)</f>
        <v>0.4338109181059</v>
      </c>
      <c r="Y45" s="15">
        <f t="shared" si="32"/>
        <v>2.7594716852037298</v>
      </c>
      <c r="Z45" s="15">
        <f t="shared" si="32"/>
        <v>6.7455122751445398E-2</v>
      </c>
      <c r="AA45" s="15">
        <f t="shared" si="32"/>
        <v>2.7617798963915772</v>
      </c>
      <c r="AB45" s="15">
        <f t="shared" si="32"/>
        <v>8.3605357309039854E-2</v>
      </c>
      <c r="AC45" s="15">
        <f t="shared" si="32"/>
        <v>1.0812124072128981</v>
      </c>
    </row>
    <row r="46" spans="1:29" x14ac:dyDescent="0.2">
      <c r="A46" s="11"/>
      <c r="B46" s="11" t="s">
        <v>17</v>
      </c>
      <c r="C46" s="15">
        <f>STDEV(C41:C44)</f>
        <v>7.5394040260370679E-2</v>
      </c>
      <c r="D46" s="15">
        <f t="shared" ref="D46:I46" si="33">STDEV(D41:D44)</f>
        <v>1.8631672738206036E-2</v>
      </c>
      <c r="E46" s="15">
        <f t="shared" si="33"/>
        <v>0.30312738537626616</v>
      </c>
      <c r="F46" s="15">
        <f t="shared" si="33"/>
        <v>7.8046837752839188E-2</v>
      </c>
      <c r="G46" s="15">
        <f t="shared" si="33"/>
        <v>9.2854358565725936E-2</v>
      </c>
      <c r="H46" s="15">
        <f t="shared" si="33"/>
        <v>9.4931051010210474E-3</v>
      </c>
      <c r="I46" s="15">
        <f t="shared" si="33"/>
        <v>0.14341858929240603</v>
      </c>
      <c r="J46" s="15"/>
      <c r="K46" s="15"/>
      <c r="L46" s="15" t="s">
        <v>17</v>
      </c>
      <c r="M46" s="15">
        <f>STDEV(M41:M44)</f>
        <v>7.3995401922180792E-2</v>
      </c>
      <c r="N46" s="15">
        <f t="shared" ref="N46:S46" si="34">STDEV(N41:N44)</f>
        <v>3.6507146973639493E-2</v>
      </c>
      <c r="O46" s="15">
        <f t="shared" si="34"/>
        <v>0.46560644414640007</v>
      </c>
      <c r="P46" s="15">
        <f t="shared" si="34"/>
        <v>0.36485719207749229</v>
      </c>
      <c r="Q46" s="15">
        <f t="shared" si="34"/>
        <v>0.11425717353895119</v>
      </c>
      <c r="R46" s="15">
        <f t="shared" si="34"/>
        <v>4.4081400888152716E-3</v>
      </c>
      <c r="S46" s="15">
        <f t="shared" si="34"/>
        <v>7.0862881146685514E-2</v>
      </c>
      <c r="U46" s="11"/>
      <c r="V46" s="11" t="s">
        <v>17</v>
      </c>
      <c r="W46" s="15">
        <f>STDEV(W41:W44)</f>
        <v>7.4424697948890089E-2</v>
      </c>
      <c r="X46" s="15">
        <f t="shared" ref="X46:AC46" si="35">STDEV(X41:X44)</f>
        <v>1.8963216502554739E-2</v>
      </c>
      <c r="Y46" s="15">
        <f t="shared" si="35"/>
        <v>0.30194114684325279</v>
      </c>
      <c r="Z46" s="15">
        <f t="shared" si="35"/>
        <v>8.852921071634591E-2</v>
      </c>
      <c r="AA46" s="15">
        <f t="shared" si="35"/>
        <v>9.2856630713518698E-2</v>
      </c>
      <c r="AB46" s="15">
        <f t="shared" si="35"/>
        <v>9.4132380872569456E-3</v>
      </c>
      <c r="AC46" s="15">
        <f t="shared" si="35"/>
        <v>0.1423064840663841</v>
      </c>
    </row>
  </sheetData>
  <mergeCells count="24">
    <mergeCell ref="U25:AC25"/>
    <mergeCell ref="U27:U30"/>
    <mergeCell ref="U34:U37"/>
    <mergeCell ref="U41:U44"/>
    <mergeCell ref="K2:S2"/>
    <mergeCell ref="K4:K7"/>
    <mergeCell ref="K11:K14"/>
    <mergeCell ref="K18:K21"/>
    <mergeCell ref="U2:AC2"/>
    <mergeCell ref="U4:U7"/>
    <mergeCell ref="U11:U14"/>
    <mergeCell ref="U18:U21"/>
    <mergeCell ref="A2:I2"/>
    <mergeCell ref="A4:A7"/>
    <mergeCell ref="A34:A37"/>
    <mergeCell ref="A11:A14"/>
    <mergeCell ref="A18:A21"/>
    <mergeCell ref="K34:K37"/>
    <mergeCell ref="A41:A44"/>
    <mergeCell ref="K41:K44"/>
    <mergeCell ref="A25:I25"/>
    <mergeCell ref="K25:S25"/>
    <mergeCell ref="A27:A30"/>
    <mergeCell ref="K27:K3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2177130-642f-41d9-9211-74237ad5687d}" enabled="0" method="" siteId="{22177130-642f-41d9-9211-74237ad568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Khoshnevis, Arman</dc:creator>
  <cp:lastModifiedBy>Khoshnevis, Arman</cp:lastModifiedBy>
  <dcterms:created xsi:type="dcterms:W3CDTF">2024-02-11T15:59:46Z</dcterms:created>
  <dcterms:modified xsi:type="dcterms:W3CDTF">2026-04-06T18:29:33Z</dcterms:modified>
</cp:coreProperties>
</file>