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khoshne1_msu_edu/Documents/PhD/Research/2-SensitivityAnalysis/GSA-SALib/SALib-Results-FMM-FMG/"/>
    </mc:Choice>
  </mc:AlternateContent>
  <xr:revisionPtr revIDLastSave="1838" documentId="8_{7FC6161D-F4CD-0943-AB94-C895F4D8422D}" xr6:coauthVersionLast="47" xr6:coauthVersionMax="47" xr10:uidLastSave="{A0D95FAC-EF4C-5C42-8A2F-7C8C34C3A718}"/>
  <bookViews>
    <workbookView xWindow="0" yWindow="660" windowWidth="30240" windowHeight="18980" xr2:uid="{2B153E34-0161-5541-A84A-F5872730D56D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3" i="3" l="1"/>
  <c r="AB23" i="3"/>
  <c r="AA23" i="3"/>
  <c r="Z23" i="3"/>
  <c r="Y23" i="3"/>
  <c r="X23" i="3"/>
  <c r="W23" i="3"/>
  <c r="AC22" i="3"/>
  <c r="AB22" i="3"/>
  <c r="AA22" i="3"/>
  <c r="Z22" i="3"/>
  <c r="Y22" i="3"/>
  <c r="X22" i="3"/>
  <c r="W22" i="3"/>
  <c r="AC16" i="3"/>
  <c r="AB16" i="3"/>
  <c r="AA16" i="3"/>
  <c r="Z16" i="3"/>
  <c r="Y16" i="3"/>
  <c r="X16" i="3"/>
  <c r="W16" i="3"/>
  <c r="AC15" i="3"/>
  <c r="AB15" i="3"/>
  <c r="AA15" i="3"/>
  <c r="Z15" i="3"/>
  <c r="Y15" i="3"/>
  <c r="X15" i="3"/>
  <c r="W15" i="3"/>
  <c r="AC9" i="3"/>
  <c r="AB9" i="3"/>
  <c r="AA9" i="3"/>
  <c r="Z9" i="3"/>
  <c r="Y9" i="3"/>
  <c r="X9" i="3"/>
  <c r="W9" i="3"/>
  <c r="AC8" i="3"/>
  <c r="AB8" i="3"/>
  <c r="AA8" i="3"/>
  <c r="Z8" i="3"/>
  <c r="Y8" i="3"/>
  <c r="X8" i="3"/>
  <c r="W8" i="3"/>
  <c r="P23" i="3"/>
  <c r="P22" i="3"/>
  <c r="O23" i="3"/>
  <c r="O22" i="3"/>
  <c r="P16" i="3"/>
  <c r="P15" i="3"/>
  <c r="P9" i="3"/>
  <c r="P8" i="3"/>
  <c r="F23" i="3"/>
  <c r="F22" i="3"/>
  <c r="F16" i="3"/>
  <c r="F15" i="3"/>
  <c r="F9" i="3"/>
  <c r="F8" i="3"/>
  <c r="S23" i="3"/>
  <c r="R23" i="3"/>
  <c r="Q23" i="3"/>
  <c r="N23" i="3"/>
  <c r="M23" i="3"/>
  <c r="S22" i="3"/>
  <c r="R22" i="3"/>
  <c r="Q22" i="3"/>
  <c r="N22" i="3"/>
  <c r="M22" i="3"/>
  <c r="S16" i="3"/>
  <c r="R16" i="3"/>
  <c r="Q16" i="3"/>
  <c r="O16" i="3"/>
  <c r="N16" i="3"/>
  <c r="M16" i="3"/>
  <c r="S15" i="3"/>
  <c r="R15" i="3"/>
  <c r="Q15" i="3"/>
  <c r="O15" i="3"/>
  <c r="N15" i="3"/>
  <c r="M15" i="3"/>
  <c r="S9" i="3"/>
  <c r="R9" i="3"/>
  <c r="Q9" i="3"/>
  <c r="O9" i="3"/>
  <c r="N9" i="3"/>
  <c r="M9" i="3"/>
  <c r="S8" i="3"/>
  <c r="R8" i="3"/>
  <c r="Q8" i="3"/>
  <c r="O8" i="3"/>
  <c r="N8" i="3"/>
  <c r="M8" i="3"/>
  <c r="I23" i="3"/>
  <c r="H23" i="3"/>
  <c r="G23" i="3"/>
  <c r="E23" i="3"/>
  <c r="D23" i="3"/>
  <c r="C23" i="3"/>
  <c r="I22" i="3"/>
  <c r="H22" i="3"/>
  <c r="G22" i="3"/>
  <c r="E22" i="3"/>
  <c r="D22" i="3"/>
  <c r="C22" i="3"/>
  <c r="I16" i="3"/>
  <c r="H16" i="3"/>
  <c r="G16" i="3"/>
  <c r="E16" i="3"/>
  <c r="D16" i="3"/>
  <c r="C16" i="3"/>
  <c r="I15" i="3"/>
  <c r="H15" i="3"/>
  <c r="G15" i="3"/>
  <c r="E15" i="3"/>
  <c r="D15" i="3"/>
  <c r="C15" i="3"/>
  <c r="I9" i="3"/>
  <c r="H9" i="3"/>
  <c r="G9" i="3"/>
  <c r="E9" i="3"/>
  <c r="D9" i="3"/>
  <c r="C9" i="3"/>
  <c r="I8" i="3"/>
  <c r="H8" i="3"/>
  <c r="G8" i="3"/>
  <c r="E8" i="3"/>
  <c r="D8" i="3"/>
  <c r="C8" i="3"/>
</calcChain>
</file>

<file path=xl/sharedStrings.xml><?xml version="1.0" encoding="utf-8"?>
<sst xmlns="http://schemas.openxmlformats.org/spreadsheetml/2006/main" count="107" uniqueCount="17">
  <si>
    <t>20HS</t>
  </si>
  <si>
    <t>tauc1</t>
  </si>
  <si>
    <t>alpha1</t>
  </si>
  <si>
    <t>tauc2</t>
  </si>
  <si>
    <t>alpha2</t>
  </si>
  <si>
    <t>HS</t>
  </si>
  <si>
    <t>GnP</t>
  </si>
  <si>
    <t>30HS</t>
  </si>
  <si>
    <t>40HS</t>
  </si>
  <si>
    <t>L_inf norm - Sensitivity Index - Storage Module</t>
  </si>
  <si>
    <t>L_inf norm - Local Sensitivity Index - Loss Module</t>
  </si>
  <si>
    <t>Ec1</t>
  </si>
  <si>
    <t>Ec2</t>
  </si>
  <si>
    <t>Average</t>
  </si>
  <si>
    <t>std</t>
  </si>
  <si>
    <t>L_inf norm - Sensitivity Index - Complex Module</t>
  </si>
  <si>
    <t>beta1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</si>
</sst>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B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3C42-B956-9A40-8D23-4EB1F1F84597}">
  <dimension ref="A2:AC23"/>
  <sheetViews>
    <sheetView tabSelected="1" topLeftCell="O1" zoomScale="144" workbookViewId="0">
      <selection activeCell="W9" sqref="W8:AC9"/>
    </sheetView>
  </sheetViews>
  <sheetFormatPr baseColWidth="10" defaultRowHeight="16" x14ac:dyDescent="0.2"/>
  <cols>
    <col min="1" max="1" width="10.83203125" style="3"/>
    <col min="2" max="2" width="12.33203125" style="3" bestFit="1" customWidth="1"/>
    <col min="3" max="16384" width="10.83203125" style="3"/>
  </cols>
  <sheetData>
    <row r="2" spans="1:29" x14ac:dyDescent="0.2">
      <c r="A2" s="13" t="s">
        <v>9</v>
      </c>
      <c r="B2" s="13"/>
      <c r="C2" s="13"/>
      <c r="D2" s="13"/>
      <c r="E2" s="13"/>
      <c r="F2" s="13"/>
      <c r="G2" s="13"/>
      <c r="H2" s="13"/>
      <c r="I2" s="13"/>
      <c r="K2" s="13" t="s">
        <v>10</v>
      </c>
      <c r="L2" s="13"/>
      <c r="M2" s="13"/>
      <c r="N2" s="13"/>
      <c r="O2" s="13"/>
      <c r="P2" s="13"/>
      <c r="Q2" s="13"/>
      <c r="R2" s="13"/>
      <c r="S2" s="13"/>
      <c r="U2" s="13" t="s">
        <v>15</v>
      </c>
      <c r="V2" s="13"/>
      <c r="W2" s="13"/>
      <c r="X2" s="13"/>
      <c r="Y2" s="13"/>
      <c r="Z2" s="13"/>
      <c r="AA2" s="13"/>
      <c r="AB2" s="13"/>
      <c r="AC2" s="13"/>
    </row>
    <row r="3" spans="1:29" x14ac:dyDescent="0.2">
      <c r="A3" s="1" t="s">
        <v>5</v>
      </c>
      <c r="B3" s="9" t="s">
        <v>6</v>
      </c>
      <c r="C3" s="9" t="s">
        <v>11</v>
      </c>
      <c r="D3" s="9" t="s">
        <v>1</v>
      </c>
      <c r="E3" s="9" t="s">
        <v>2</v>
      </c>
      <c r="F3" s="9" t="s">
        <v>16</v>
      </c>
      <c r="G3" s="9" t="s">
        <v>12</v>
      </c>
      <c r="H3" s="9" t="s">
        <v>3</v>
      </c>
      <c r="I3" s="9" t="s">
        <v>4</v>
      </c>
      <c r="K3" s="1" t="s">
        <v>5</v>
      </c>
      <c r="L3" s="9" t="s">
        <v>6</v>
      </c>
      <c r="M3" s="9" t="s">
        <v>11</v>
      </c>
      <c r="N3" s="9" t="s">
        <v>1</v>
      </c>
      <c r="O3" s="9" t="s">
        <v>2</v>
      </c>
      <c r="P3" s="9" t="s">
        <v>16</v>
      </c>
      <c r="Q3" s="9" t="s">
        <v>12</v>
      </c>
      <c r="R3" s="9" t="s">
        <v>3</v>
      </c>
      <c r="S3" s="9" t="s">
        <v>4</v>
      </c>
      <c r="U3" s="1" t="s">
        <v>5</v>
      </c>
      <c r="V3" s="9" t="s">
        <v>6</v>
      </c>
      <c r="W3" s="9" t="s">
        <v>11</v>
      </c>
      <c r="X3" s="9" t="s">
        <v>1</v>
      </c>
      <c r="Y3" s="9" t="s">
        <v>2</v>
      </c>
      <c r="Z3" s="9" t="s">
        <v>16</v>
      </c>
      <c r="AA3" s="9" t="s">
        <v>12</v>
      </c>
      <c r="AB3" s="9" t="s">
        <v>3</v>
      </c>
      <c r="AC3" s="9" t="s">
        <v>4</v>
      </c>
    </row>
    <row r="4" spans="1:29" x14ac:dyDescent="0.2">
      <c r="A4" s="12" t="s">
        <v>0</v>
      </c>
      <c r="B4" s="5">
        <v>0</v>
      </c>
      <c r="C4" s="2">
        <v>0.98449713447204601</v>
      </c>
      <c r="D4" s="2">
        <v>9.9406694150344505E-2</v>
      </c>
      <c r="E4" s="2">
        <v>0.90213294554087298</v>
      </c>
      <c r="F4" s="2">
        <v>8.4355462738622596E-3</v>
      </c>
      <c r="G4" s="2">
        <v>0.38219298279423303</v>
      </c>
      <c r="H4" s="2">
        <v>2.9790822129210199E-3</v>
      </c>
      <c r="I4" s="2">
        <v>0.71260926163508698</v>
      </c>
      <c r="K4" s="12" t="s">
        <v>0</v>
      </c>
      <c r="L4" s="5">
        <v>0</v>
      </c>
      <c r="M4" s="4">
        <v>0.89136031939708305</v>
      </c>
      <c r="N4" s="4">
        <v>0.11865584447854</v>
      </c>
      <c r="O4" s="4">
        <v>0.93264322855804604</v>
      </c>
      <c r="P4" s="4">
        <v>0.117185197428507</v>
      </c>
      <c r="Q4" s="4">
        <v>0.55674682954493804</v>
      </c>
      <c r="R4" s="4">
        <v>3.3605238126752902E-3</v>
      </c>
      <c r="S4" s="4">
        <v>5.8056203992543798E-2</v>
      </c>
      <c r="U4" s="12" t="s">
        <v>0</v>
      </c>
      <c r="V4" s="5">
        <v>0</v>
      </c>
      <c r="W4" s="2">
        <v>0.98510264087513499</v>
      </c>
      <c r="X4" s="2">
        <v>0.10133650285281</v>
      </c>
      <c r="Y4" s="2">
        <v>0.89658234877307996</v>
      </c>
      <c r="Z4" s="2">
        <v>9.3382657181295108E-3</v>
      </c>
      <c r="AA4" s="2">
        <v>0.381381303081815</v>
      </c>
      <c r="AB4" s="2">
        <v>2.9177536106412302E-3</v>
      </c>
      <c r="AC4" s="2">
        <v>0.70680641611085004</v>
      </c>
    </row>
    <row r="5" spans="1:29" x14ac:dyDescent="0.2">
      <c r="A5" s="12"/>
      <c r="B5" s="7">
        <v>0.5</v>
      </c>
      <c r="C5" s="8">
        <v>0.98999041970247503</v>
      </c>
      <c r="D5" s="8">
        <v>0.100702043827691</v>
      </c>
      <c r="E5" s="8">
        <v>0.90992054804571298</v>
      </c>
      <c r="F5" s="8">
        <v>5.1899590865200204E-3</v>
      </c>
      <c r="G5" s="8">
        <v>0.45629507583608597</v>
      </c>
      <c r="H5" s="8">
        <v>2.48764740777755E-3</v>
      </c>
      <c r="I5" s="8">
        <v>0.62752991157205595</v>
      </c>
      <c r="K5" s="12"/>
      <c r="L5" s="7">
        <v>0.5</v>
      </c>
      <c r="M5" s="11">
        <v>0.90244248336548205</v>
      </c>
      <c r="N5" s="11">
        <v>0.119967594238811</v>
      </c>
      <c r="O5" s="11">
        <v>0.93892576862409405</v>
      </c>
      <c r="P5" s="11">
        <v>7.6983236902626706E-2</v>
      </c>
      <c r="Q5" s="11">
        <v>0.50756815644234399</v>
      </c>
      <c r="R5" s="11">
        <v>1.9605569014913599E-3</v>
      </c>
      <c r="S5" s="11">
        <v>6.4173228857097699E-3</v>
      </c>
      <c r="U5" s="12"/>
      <c r="V5" s="7">
        <v>0.5</v>
      </c>
      <c r="W5" s="8">
        <v>0.990265018976482</v>
      </c>
      <c r="X5" s="8">
        <v>0.10230459162844401</v>
      </c>
      <c r="Y5" s="8">
        <v>0.90490006398464395</v>
      </c>
      <c r="Z5" s="8">
        <v>5.6479140082498804E-3</v>
      </c>
      <c r="AA5" s="8">
        <v>0.455277690055649</v>
      </c>
      <c r="AB5" s="8">
        <v>2.4334868264778899E-3</v>
      </c>
      <c r="AC5" s="8">
        <v>0.62388016412893099</v>
      </c>
    </row>
    <row r="6" spans="1:29" x14ac:dyDescent="0.2">
      <c r="A6" s="12"/>
      <c r="B6" s="5">
        <v>1</v>
      </c>
      <c r="C6" s="2">
        <v>0.98019529563028296</v>
      </c>
      <c r="D6" s="2">
        <v>9.1118452602281699E-2</v>
      </c>
      <c r="E6" s="2">
        <v>0.86393437608608703</v>
      </c>
      <c r="F6" s="2">
        <v>1.5457703540044099E-2</v>
      </c>
      <c r="G6" s="2">
        <v>0.37167507732879401</v>
      </c>
      <c r="H6" s="2">
        <v>3.2946471897605601E-3</v>
      </c>
      <c r="I6" s="2">
        <v>0.72488277830237302</v>
      </c>
      <c r="K6" s="12"/>
      <c r="L6" s="5">
        <v>1</v>
      </c>
      <c r="M6" s="4">
        <v>0.89602025478301695</v>
      </c>
      <c r="N6" s="4">
        <v>0.10977590996660599</v>
      </c>
      <c r="O6" s="4">
        <v>0.90889817289515096</v>
      </c>
      <c r="P6" s="4">
        <v>0.16838018223509599</v>
      </c>
      <c r="Q6" s="4">
        <v>0.53719914547060299</v>
      </c>
      <c r="R6" s="4">
        <v>3.7981943033927501E-3</v>
      </c>
      <c r="S6" s="4">
        <v>7.7678435569508597E-2</v>
      </c>
      <c r="U6" s="12"/>
      <c r="V6" s="5">
        <v>1</v>
      </c>
      <c r="W6" s="2">
        <v>0.98057441213739605</v>
      </c>
      <c r="X6" s="2">
        <v>9.2674994400380795E-2</v>
      </c>
      <c r="Y6" s="2">
        <v>0.85671541523666805</v>
      </c>
      <c r="Z6" s="2">
        <v>1.6463367569089098E-2</v>
      </c>
      <c r="AA6" s="2">
        <v>0.36921892846093102</v>
      </c>
      <c r="AB6" s="2">
        <v>3.2348737613528199E-3</v>
      </c>
      <c r="AC6" s="2">
        <v>0.71771453304142596</v>
      </c>
    </row>
    <row r="7" spans="1:29" x14ac:dyDescent="0.2">
      <c r="A7" s="12"/>
      <c r="B7" s="7">
        <v>1.5</v>
      </c>
      <c r="C7" s="8">
        <v>0.98253294083700504</v>
      </c>
      <c r="D7" s="8">
        <v>9.5019855750004004E-2</v>
      </c>
      <c r="E7" s="8">
        <v>0.89730694014576196</v>
      </c>
      <c r="F7" s="8">
        <v>8.9324457243348896E-3</v>
      </c>
      <c r="G7" s="8">
        <v>0.39718922482694602</v>
      </c>
      <c r="H7" s="8">
        <v>2.5498210276219601E-3</v>
      </c>
      <c r="I7" s="8">
        <v>0.69561742153988204</v>
      </c>
      <c r="K7" s="12"/>
      <c r="L7" s="7">
        <v>1.5</v>
      </c>
      <c r="M7" s="11">
        <v>0.893538635704891</v>
      </c>
      <c r="N7" s="11">
        <v>0.113719162978792</v>
      </c>
      <c r="O7" s="11">
        <v>0.93042582338233404</v>
      </c>
      <c r="P7" s="11">
        <v>0.12627509782677901</v>
      </c>
      <c r="Q7" s="11">
        <v>0.54935109970999296</v>
      </c>
      <c r="R7" s="11">
        <v>2.8439318842064299E-3</v>
      </c>
      <c r="S7" s="11">
        <v>3.62361043776687E-2</v>
      </c>
      <c r="U7" s="12"/>
      <c r="V7" s="7">
        <v>1.5</v>
      </c>
      <c r="W7" s="8">
        <v>0.98307066176578295</v>
      </c>
      <c r="X7" s="8">
        <v>9.6846614476140402E-2</v>
      </c>
      <c r="Y7" s="8">
        <v>0.89206259897153095</v>
      </c>
      <c r="Z7" s="8">
        <v>9.9562096405172405E-3</v>
      </c>
      <c r="AA7" s="8">
        <v>0.394857764169735</v>
      </c>
      <c r="AB7" s="8">
        <v>2.7749175470592599E-3</v>
      </c>
      <c r="AC7" s="8">
        <v>0.68905731777364698</v>
      </c>
    </row>
    <row r="8" spans="1:29" x14ac:dyDescent="0.2">
      <c r="B8" s="1" t="s">
        <v>13</v>
      </c>
      <c r="C8" s="14">
        <f t="shared" ref="C8:I8" si="0">AVERAGE(C4:C7)</f>
        <v>0.98430394766045226</v>
      </c>
      <c r="D8" s="14">
        <f t="shared" si="0"/>
        <v>9.6561761582580299E-2</v>
      </c>
      <c r="E8" s="14">
        <f t="shared" si="0"/>
        <v>0.89332370245460879</v>
      </c>
      <c r="F8" s="14">
        <f t="shared" ref="F8" si="1">AVERAGE(F4:F7)</f>
        <v>9.5039136561903166E-3</v>
      </c>
      <c r="G8" s="14">
        <f t="shared" si="0"/>
        <v>0.40183809019651473</v>
      </c>
      <c r="H8" s="14">
        <f t="shared" si="0"/>
        <v>2.8277994595202723E-3</v>
      </c>
      <c r="I8" s="14">
        <f t="shared" si="0"/>
        <v>0.69015984326234958</v>
      </c>
      <c r="L8" s="1" t="s">
        <v>13</v>
      </c>
      <c r="M8" s="14">
        <f t="shared" ref="M8:S8" si="2">AVERAGE(M4:M7)</f>
        <v>0.89584042331261826</v>
      </c>
      <c r="N8" s="14">
        <f t="shared" si="2"/>
        <v>0.11552962791568724</v>
      </c>
      <c r="O8" s="14">
        <f t="shared" si="2"/>
        <v>0.92772324836490627</v>
      </c>
      <c r="P8" s="14">
        <f t="shared" ref="P8" si="3">AVERAGE(P4:P7)</f>
        <v>0.12220592859825219</v>
      </c>
      <c r="Q8" s="14">
        <f t="shared" si="2"/>
        <v>0.53771630779196944</v>
      </c>
      <c r="R8" s="14">
        <f t="shared" si="2"/>
        <v>2.9908017254414573E-3</v>
      </c>
      <c r="S8" s="14">
        <f t="shared" si="2"/>
        <v>4.4597016706357719E-2</v>
      </c>
      <c r="V8" s="1" t="s">
        <v>13</v>
      </c>
      <c r="W8" s="14">
        <f t="shared" ref="W8:AC8" si="4">AVERAGE(W4:W7)</f>
        <v>0.98475318343869911</v>
      </c>
      <c r="X8" s="14">
        <f t="shared" si="4"/>
        <v>9.82906758394438E-2</v>
      </c>
      <c r="Y8" s="14">
        <f t="shared" si="4"/>
        <v>0.8875651067414807</v>
      </c>
      <c r="Z8" s="14">
        <f t="shared" si="4"/>
        <v>1.0351439233996434E-2</v>
      </c>
      <c r="AA8" s="14">
        <f t="shared" si="4"/>
        <v>0.40018392144203252</v>
      </c>
      <c r="AB8" s="14">
        <f t="shared" si="4"/>
        <v>2.8402579363828E-3</v>
      </c>
      <c r="AC8" s="14">
        <f t="shared" si="4"/>
        <v>0.68436460776371355</v>
      </c>
    </row>
    <row r="9" spans="1:29" x14ac:dyDescent="0.2">
      <c r="B9" s="1" t="s">
        <v>14</v>
      </c>
      <c r="C9" s="14">
        <f>STDEV(C4:C7)</f>
        <v>4.1789461232305657E-3</v>
      </c>
      <c r="D9" s="14">
        <f t="shared" ref="D9:I9" si="5">STDEV(D4:D7)</f>
        <v>4.3681676034632091E-3</v>
      </c>
      <c r="E9" s="14">
        <f t="shared" si="5"/>
        <v>2.0270312727628383E-2</v>
      </c>
      <c r="F9" s="14">
        <f t="shared" ref="F9" si="6">STDEV(F4:F7)</f>
        <v>4.3021623427845586E-3</v>
      </c>
      <c r="G9" s="14">
        <f t="shared" si="5"/>
        <v>3.7784091997727969E-2</v>
      </c>
      <c r="H9" s="14">
        <f t="shared" si="5"/>
        <v>3.8026688067393236E-4</v>
      </c>
      <c r="I9" s="14">
        <f t="shared" si="5"/>
        <v>4.3443266095963697E-2</v>
      </c>
      <c r="L9" s="1" t="s">
        <v>14</v>
      </c>
      <c r="M9" s="14">
        <f>STDEV(M4:M7)</f>
        <v>4.7954524841925788E-3</v>
      </c>
      <c r="N9" s="14">
        <f t="shared" ref="N9:S9" si="7">STDEV(N4:N7)</f>
        <v>4.6851477603288118E-3</v>
      </c>
      <c r="O9" s="14">
        <f t="shared" si="7"/>
        <v>1.3056161296813192E-2</v>
      </c>
      <c r="P9" s="14">
        <f t="shared" ref="P9" si="8">STDEV(P4:P7)</f>
        <v>3.7500752982690934E-2</v>
      </c>
      <c r="Q9" s="14">
        <f t="shared" si="7"/>
        <v>2.1654157628751732E-2</v>
      </c>
      <c r="R9" s="14">
        <f t="shared" si="7"/>
        <v>7.8984225097161981E-4</v>
      </c>
      <c r="S9" s="14">
        <f t="shared" si="7"/>
        <v>3.0567541999154992E-2</v>
      </c>
      <c r="V9" s="1" t="s">
        <v>14</v>
      </c>
      <c r="W9" s="14">
        <f>STDEV(W4:W7)</f>
        <v>4.1148292902571095E-3</v>
      </c>
      <c r="X9" s="14">
        <f t="shared" ref="X9:AC9" si="9">STDEV(X4:X7)</f>
        <v>4.4350788569674383E-3</v>
      </c>
      <c r="Y9" s="14">
        <f t="shared" si="9"/>
        <v>2.1242585363527126E-2</v>
      </c>
      <c r="Z9" s="14">
        <f t="shared" si="9"/>
        <v>4.4967226779570098E-3</v>
      </c>
      <c r="AA9" s="14">
        <f t="shared" si="9"/>
        <v>3.8192759081880141E-2</v>
      </c>
      <c r="AB9" s="14">
        <f t="shared" si="9"/>
        <v>3.3239501158298704E-4</v>
      </c>
      <c r="AC9" s="14">
        <f t="shared" si="9"/>
        <v>4.2016828878300355E-2</v>
      </c>
    </row>
    <row r="10" spans="1:29" x14ac:dyDescent="0.2">
      <c r="A10" s="1" t="s">
        <v>5</v>
      </c>
      <c r="B10" s="9" t="s">
        <v>6</v>
      </c>
      <c r="C10" s="9" t="s">
        <v>11</v>
      </c>
      <c r="D10" s="9" t="s">
        <v>1</v>
      </c>
      <c r="E10" s="9" t="s">
        <v>2</v>
      </c>
      <c r="F10" s="9" t="s">
        <v>16</v>
      </c>
      <c r="G10" s="9" t="s">
        <v>12</v>
      </c>
      <c r="H10" s="9" t="s">
        <v>3</v>
      </c>
      <c r="I10" s="9" t="s">
        <v>4</v>
      </c>
      <c r="K10" s="1" t="s">
        <v>5</v>
      </c>
      <c r="L10" s="9" t="s">
        <v>6</v>
      </c>
      <c r="M10" s="9" t="s">
        <v>11</v>
      </c>
      <c r="N10" s="9" t="s">
        <v>1</v>
      </c>
      <c r="O10" s="9" t="s">
        <v>2</v>
      </c>
      <c r="P10" s="9"/>
      <c r="Q10" s="9" t="s">
        <v>12</v>
      </c>
      <c r="R10" s="9" t="s">
        <v>3</v>
      </c>
      <c r="S10" s="9" t="s">
        <v>4</v>
      </c>
      <c r="U10" s="1" t="s">
        <v>5</v>
      </c>
      <c r="V10" s="9" t="s">
        <v>6</v>
      </c>
      <c r="W10" s="9" t="s">
        <v>11</v>
      </c>
      <c r="X10" s="9" t="s">
        <v>1</v>
      </c>
      <c r="Y10" s="9" t="s">
        <v>2</v>
      </c>
      <c r="Z10" s="9"/>
      <c r="AA10" s="9" t="s">
        <v>12</v>
      </c>
      <c r="AB10" s="9" t="s">
        <v>3</v>
      </c>
      <c r="AC10" s="9" t="s">
        <v>4</v>
      </c>
    </row>
    <row r="11" spans="1:29" x14ac:dyDescent="0.2">
      <c r="A11" s="12" t="s">
        <v>7</v>
      </c>
      <c r="B11" s="5">
        <v>0</v>
      </c>
      <c r="C11" s="4">
        <v>0.96365225749752403</v>
      </c>
      <c r="D11" s="4">
        <v>4.2413804047543302E-2</v>
      </c>
      <c r="E11" s="4">
        <v>0.79004811555516896</v>
      </c>
      <c r="F11" s="4">
        <v>1.43410519546814E-2</v>
      </c>
      <c r="G11" s="4">
        <v>0.56655052497406799</v>
      </c>
      <c r="H11" s="4">
        <v>1.1220316577157401E-3</v>
      </c>
      <c r="I11" s="4">
        <v>0.33898653849650701</v>
      </c>
      <c r="K11" s="12" t="s">
        <v>7</v>
      </c>
      <c r="L11" s="5">
        <v>0</v>
      </c>
      <c r="M11" s="4">
        <v>0.94745556406789799</v>
      </c>
      <c r="N11" s="4">
        <v>5.3066776677435798E-2</v>
      </c>
      <c r="O11" s="4">
        <v>0.88617389300730398</v>
      </c>
      <c r="P11" s="4">
        <v>0.27298045750384597</v>
      </c>
      <c r="Q11" s="4">
        <v>0.106802293312748</v>
      </c>
      <c r="R11" s="4">
        <v>9.27026704690716E-5</v>
      </c>
      <c r="S11" s="4">
        <v>2.59491724253232E-2</v>
      </c>
      <c r="U11" s="1" t="s">
        <v>7</v>
      </c>
      <c r="V11" s="5">
        <v>0</v>
      </c>
      <c r="W11" s="4">
        <v>0.96296666094613603</v>
      </c>
      <c r="X11" s="4">
        <v>4.2715532785011799E-2</v>
      </c>
      <c r="Y11" s="4">
        <v>0.78663262544200296</v>
      </c>
      <c r="Z11" s="4">
        <v>1.5337397362387499E-2</v>
      </c>
      <c r="AA11" s="4">
        <v>0.56614912588484001</v>
      </c>
      <c r="AB11" s="4">
        <v>1.12898898125252E-3</v>
      </c>
      <c r="AC11" s="4">
        <v>0.33164503346349899</v>
      </c>
    </row>
    <row r="12" spans="1:29" x14ac:dyDescent="0.2">
      <c r="A12" s="12"/>
      <c r="B12" s="7">
        <v>0.5</v>
      </c>
      <c r="C12" s="10">
        <v>0.97308700263130798</v>
      </c>
      <c r="D12" s="10">
        <v>4.2765489548303802E-2</v>
      </c>
      <c r="E12" s="10">
        <v>0.79061047037408205</v>
      </c>
      <c r="F12" s="10">
        <v>1.24273047170492E-3</v>
      </c>
      <c r="G12" s="10">
        <v>0.48195811205554201</v>
      </c>
      <c r="H12" s="10">
        <v>1.4018826296759699E-3</v>
      </c>
      <c r="I12" s="10">
        <v>0.434015825094482</v>
      </c>
      <c r="K12" s="12"/>
      <c r="L12" s="7">
        <v>0.5</v>
      </c>
      <c r="M12" s="11">
        <v>0.94577140505670398</v>
      </c>
      <c r="N12" s="11">
        <v>5.3431193178403599E-2</v>
      </c>
      <c r="O12" s="11">
        <v>0.88105989358130199</v>
      </c>
      <c r="P12" s="11">
        <v>2.77478965673555E-2</v>
      </c>
      <c r="Q12" s="11">
        <v>0.13684523797211701</v>
      </c>
      <c r="R12" s="11">
        <v>2.0550557147419599E-4</v>
      </c>
      <c r="S12" s="11">
        <v>1.4571159762691599E-2</v>
      </c>
      <c r="U12" s="1"/>
      <c r="V12" s="7">
        <v>0.5</v>
      </c>
      <c r="W12" s="10">
        <v>0.97367162815370301</v>
      </c>
      <c r="X12" s="10">
        <v>4.3280663242661201E-2</v>
      </c>
      <c r="Y12" s="10">
        <v>0.78732496363780102</v>
      </c>
      <c r="Z12" s="10">
        <v>1.3587786605004E-3</v>
      </c>
      <c r="AA12" s="10">
        <v>0.48085685389592703</v>
      </c>
      <c r="AB12" s="10">
        <v>1.4075585068879901E-3</v>
      </c>
      <c r="AC12" s="10">
        <v>0.42627731384818301</v>
      </c>
    </row>
    <row r="13" spans="1:29" x14ac:dyDescent="0.2">
      <c r="A13" s="12"/>
      <c r="B13" s="5">
        <v>1</v>
      </c>
      <c r="C13" s="6">
        <v>0.97264034492491902</v>
      </c>
      <c r="D13" s="6">
        <v>4.1017861774927201E-2</v>
      </c>
      <c r="E13" s="6">
        <v>0.79306573980195005</v>
      </c>
      <c r="F13" s="6">
        <v>2.72606167561698E-5</v>
      </c>
      <c r="G13" s="6">
        <v>0.48361964710604599</v>
      </c>
      <c r="H13" s="6">
        <v>1.36208829851316E-3</v>
      </c>
      <c r="I13" s="6">
        <v>0.42509967560708301</v>
      </c>
      <c r="K13" s="12"/>
      <c r="L13" s="5">
        <v>1</v>
      </c>
      <c r="M13" s="4">
        <v>0.95072806330896698</v>
      </c>
      <c r="N13" s="4">
        <v>5.12760571403649E-2</v>
      </c>
      <c r="O13" s="4">
        <v>0.88308859117856098</v>
      </c>
      <c r="P13" s="4">
        <v>7.9002412744944505E-4</v>
      </c>
      <c r="Q13" s="4">
        <v>0.12850362522706299</v>
      </c>
      <c r="R13" s="4">
        <v>2.10611628560916E-4</v>
      </c>
      <c r="S13" s="4">
        <v>1.46880566393182E-2</v>
      </c>
      <c r="U13" s="1"/>
      <c r="V13" s="5">
        <v>1</v>
      </c>
      <c r="W13" s="6">
        <v>0.97308473665731399</v>
      </c>
      <c r="X13" s="6">
        <v>4.1375603007474997E-2</v>
      </c>
      <c r="Y13" s="6">
        <v>0.78992545327913999</v>
      </c>
      <c r="Z13" s="6">
        <v>3.2294661264048997E-5</v>
      </c>
      <c r="AA13" s="6">
        <v>0.48254989725200897</v>
      </c>
      <c r="AB13" s="6">
        <v>1.3471529262278101E-3</v>
      </c>
      <c r="AC13" s="6">
        <v>0.41669802466059502</v>
      </c>
    </row>
    <row r="14" spans="1:29" x14ac:dyDescent="0.2">
      <c r="A14" s="12"/>
      <c r="B14" s="7">
        <v>1.5</v>
      </c>
      <c r="C14" s="10">
        <v>0.94539025027888002</v>
      </c>
      <c r="D14" s="10">
        <v>4.90401157164152E-2</v>
      </c>
      <c r="E14" s="10">
        <v>0.72616821476577698</v>
      </c>
      <c r="F14" s="10">
        <v>2.77568155864375E-2</v>
      </c>
      <c r="G14" s="10">
        <v>0.43859756074314998</v>
      </c>
      <c r="H14" s="10">
        <v>2.2793275496499599E-3</v>
      </c>
      <c r="I14" s="10">
        <v>0.57863222638376</v>
      </c>
      <c r="K14" s="12"/>
      <c r="L14" s="7">
        <v>1.5</v>
      </c>
      <c r="M14" s="11">
        <v>0.92979339379840698</v>
      </c>
      <c r="N14" s="11">
        <v>6.2384727446932499E-2</v>
      </c>
      <c r="O14" s="11">
        <v>0.83879766367509601</v>
      </c>
      <c r="P14" s="11">
        <v>0.27114127189434301</v>
      </c>
      <c r="Q14" s="11">
        <v>0.31795495440044702</v>
      </c>
      <c r="R14" s="11">
        <v>1.0925361358055999E-3</v>
      </c>
      <c r="S14" s="11">
        <v>1.33603547714655E-2</v>
      </c>
      <c r="U14" s="1"/>
      <c r="V14" s="7">
        <v>1.5</v>
      </c>
      <c r="W14" s="10">
        <v>0.94490458921929998</v>
      </c>
      <c r="X14" s="10">
        <v>4.97667740138652E-2</v>
      </c>
      <c r="Y14" s="10">
        <v>0.72123666109484696</v>
      </c>
      <c r="Z14" s="10">
        <v>2.9937227655072202E-2</v>
      </c>
      <c r="AA14" s="10">
        <v>0.43733270461461698</v>
      </c>
      <c r="AB14" s="10">
        <v>2.1869368339852801E-3</v>
      </c>
      <c r="AC14" s="10">
        <v>0.57028474815171704</v>
      </c>
    </row>
    <row r="15" spans="1:29" x14ac:dyDescent="0.2">
      <c r="B15" s="1" t="s">
        <v>13</v>
      </c>
      <c r="C15" s="14">
        <f t="shared" ref="C15:I15" si="10">AVERAGE(C11:C14)</f>
        <v>0.96369246383315776</v>
      </c>
      <c r="D15" s="14">
        <f t="shared" si="10"/>
        <v>4.3809317771797376E-2</v>
      </c>
      <c r="E15" s="14">
        <f t="shared" si="10"/>
        <v>0.77497313512424459</v>
      </c>
      <c r="F15" s="14">
        <f t="shared" ref="F15" si="11">AVERAGE(F11:F14)</f>
        <v>1.0841964657394997E-2</v>
      </c>
      <c r="G15" s="14">
        <f t="shared" si="10"/>
        <v>0.49268146121970152</v>
      </c>
      <c r="H15" s="14">
        <f t="shared" si="10"/>
        <v>1.5413325338887074E-3</v>
      </c>
      <c r="I15" s="14">
        <f t="shared" si="10"/>
        <v>0.44418356639545803</v>
      </c>
      <c r="L15" s="1" t="s">
        <v>13</v>
      </c>
      <c r="M15" s="14">
        <f t="shared" ref="M15:S15" si="12">AVERAGE(M11:M14)</f>
        <v>0.94343710655799395</v>
      </c>
      <c r="N15" s="14">
        <f t="shared" si="12"/>
        <v>5.5039688610784197E-2</v>
      </c>
      <c r="O15" s="14">
        <f t="shared" si="12"/>
        <v>0.87228001036056568</v>
      </c>
      <c r="P15" s="14">
        <f t="shared" ref="P15" si="13">AVERAGE(P11:P14)</f>
        <v>0.14316491252324848</v>
      </c>
      <c r="Q15" s="14">
        <f t="shared" si="12"/>
        <v>0.17252652772809374</v>
      </c>
      <c r="R15" s="14">
        <f t="shared" si="12"/>
        <v>4.0033900157744585E-4</v>
      </c>
      <c r="S15" s="14">
        <f t="shared" si="12"/>
        <v>1.7142185899699625E-2</v>
      </c>
      <c r="V15" s="1" t="s">
        <v>13</v>
      </c>
      <c r="W15" s="14">
        <f t="shared" ref="W15:AC15" si="14">AVERAGE(W11:W14)</f>
        <v>0.96365690374411317</v>
      </c>
      <c r="X15" s="14">
        <f t="shared" si="14"/>
        <v>4.4284643262253301E-2</v>
      </c>
      <c r="Y15" s="14">
        <f t="shared" si="14"/>
        <v>0.77127992586344785</v>
      </c>
      <c r="Z15" s="14">
        <f t="shared" si="14"/>
        <v>1.1666424584806039E-2</v>
      </c>
      <c r="AA15" s="14">
        <f t="shared" si="14"/>
        <v>0.49172214541184828</v>
      </c>
      <c r="AB15" s="14">
        <f t="shared" si="14"/>
        <v>1.5176593120884E-3</v>
      </c>
      <c r="AC15" s="14">
        <f t="shared" si="14"/>
        <v>0.4362262800309985</v>
      </c>
    </row>
    <row r="16" spans="1:29" x14ac:dyDescent="0.2">
      <c r="B16" s="1" t="s">
        <v>14</v>
      </c>
      <c r="C16" s="14">
        <f>STDEV(C11:C14)</f>
        <v>1.2952407405550285E-2</v>
      </c>
      <c r="D16" s="14">
        <f t="shared" ref="D16:I16" si="15">STDEV(D11:D14)</f>
        <v>3.5679363612889613E-3</v>
      </c>
      <c r="E16" s="14">
        <f t="shared" si="15"/>
        <v>3.2562984527060058E-2</v>
      </c>
      <c r="F16" s="14">
        <f t="shared" ref="F16" si="16">STDEV(F11:F14)</f>
        <v>1.3005882185945609E-2</v>
      </c>
      <c r="G16" s="14">
        <f t="shared" si="15"/>
        <v>5.3475270181742626E-2</v>
      </c>
      <c r="H16" s="14">
        <f t="shared" si="15"/>
        <v>5.072884254373692E-4</v>
      </c>
      <c r="I16" s="14">
        <f t="shared" si="15"/>
        <v>9.9348602912855646E-2</v>
      </c>
      <c r="L16" s="1" t="s">
        <v>14</v>
      </c>
      <c r="M16" s="14">
        <f>STDEV(M11:M14)</f>
        <v>9.3256974439924097E-3</v>
      </c>
      <c r="N16" s="14">
        <f t="shared" ref="N16:S16" si="17">STDEV(N11:N14)</f>
        <v>4.9864535293932463E-3</v>
      </c>
      <c r="O16" s="14">
        <f t="shared" si="17"/>
        <v>2.2420372307615091E-2</v>
      </c>
      <c r="P16" s="14">
        <f t="shared" ref="P16" si="18">STDEV(P11:P14)</f>
        <v>0.14924445349198986</v>
      </c>
      <c r="Q16" s="14">
        <f t="shared" si="17"/>
        <v>9.7775717260037878E-2</v>
      </c>
      <c r="R16" s="14">
        <f t="shared" si="17"/>
        <v>4.6466243173908585E-4</v>
      </c>
      <c r="S16" s="14">
        <f t="shared" si="17"/>
        <v>5.9019257921697236E-3</v>
      </c>
      <c r="V16" s="1" t="s">
        <v>14</v>
      </c>
      <c r="W16" s="14">
        <f>STDEV(W11:W14)</f>
        <v>1.3432603043800383E-2</v>
      </c>
      <c r="X16" s="14">
        <f t="shared" ref="X16:AC16" si="19">STDEV(X11:X14)</f>
        <v>3.7410496009907287E-3</v>
      </c>
      <c r="Y16" s="14">
        <f t="shared" si="19"/>
        <v>3.339227786399826E-2</v>
      </c>
      <c r="Z16" s="14">
        <f t="shared" si="19"/>
        <v>1.4010696265650055E-2</v>
      </c>
      <c r="AA16" s="14">
        <f t="shared" si="19"/>
        <v>5.3850940532158602E-2</v>
      </c>
      <c r="AB16" s="14">
        <f t="shared" si="19"/>
        <v>4.6194936313897729E-4</v>
      </c>
      <c r="AC16" s="14">
        <f t="shared" si="19"/>
        <v>9.8976840210903888E-2</v>
      </c>
    </row>
    <row r="17" spans="1:29" x14ac:dyDescent="0.2">
      <c r="A17" s="1" t="s">
        <v>5</v>
      </c>
      <c r="B17" s="9" t="s">
        <v>6</v>
      </c>
      <c r="C17" s="9" t="s">
        <v>11</v>
      </c>
      <c r="D17" s="9" t="s">
        <v>1</v>
      </c>
      <c r="E17" s="9" t="s">
        <v>2</v>
      </c>
      <c r="F17" s="9" t="s">
        <v>16</v>
      </c>
      <c r="G17" s="9" t="s">
        <v>12</v>
      </c>
      <c r="H17" s="9" t="s">
        <v>3</v>
      </c>
      <c r="I17" s="9" t="s">
        <v>4</v>
      </c>
      <c r="K17" s="1" t="s">
        <v>5</v>
      </c>
      <c r="L17" s="9" t="s">
        <v>6</v>
      </c>
      <c r="M17" s="9" t="s">
        <v>11</v>
      </c>
      <c r="N17" s="9" t="s">
        <v>1</v>
      </c>
      <c r="O17" s="9" t="s">
        <v>2</v>
      </c>
      <c r="P17" s="9"/>
      <c r="Q17" s="9" t="s">
        <v>12</v>
      </c>
      <c r="R17" s="9" t="s">
        <v>3</v>
      </c>
      <c r="S17" s="9" t="s">
        <v>4</v>
      </c>
      <c r="U17" s="1" t="s">
        <v>5</v>
      </c>
      <c r="V17" s="9" t="s">
        <v>6</v>
      </c>
      <c r="W17" s="9" t="s">
        <v>11</v>
      </c>
      <c r="X17" s="9" t="s">
        <v>1</v>
      </c>
      <c r="Y17" s="9" t="s">
        <v>2</v>
      </c>
      <c r="Z17" s="9"/>
      <c r="AA17" s="9" t="s">
        <v>12</v>
      </c>
      <c r="AB17" s="9" t="s">
        <v>3</v>
      </c>
      <c r="AC17" s="9" t="s">
        <v>4</v>
      </c>
    </row>
    <row r="18" spans="1:29" x14ac:dyDescent="0.2">
      <c r="A18" s="12" t="s">
        <v>8</v>
      </c>
      <c r="B18" s="5">
        <v>0</v>
      </c>
      <c r="C18" s="4">
        <v>0.92828509100795797</v>
      </c>
      <c r="D18" s="4">
        <v>2.6820348304650399E-2</v>
      </c>
      <c r="E18" s="4">
        <v>0.60850098050483503</v>
      </c>
      <c r="F18" s="4">
        <v>2.27671624789907E-3</v>
      </c>
      <c r="G18" s="4">
        <v>0.68314202559069404</v>
      </c>
      <c r="H18" s="4">
        <v>7.58165661288512E-4</v>
      </c>
      <c r="I18" s="4">
        <v>0.25150224598864801</v>
      </c>
      <c r="K18" s="12" t="s">
        <v>8</v>
      </c>
      <c r="L18" s="5">
        <v>0</v>
      </c>
      <c r="M18" s="4">
        <v>0.95210423693614199</v>
      </c>
      <c r="N18" s="4">
        <v>3.6861885428141103E-2</v>
      </c>
      <c r="O18" s="4">
        <v>0.810577125896352</v>
      </c>
      <c r="P18" s="4">
        <v>5.4168600248564402E-2</v>
      </c>
      <c r="Q18" s="4">
        <v>0.14736375495902301</v>
      </c>
      <c r="R18" s="4">
        <v>1.09267743772714E-6</v>
      </c>
      <c r="S18" s="4">
        <v>5.9823732703551402E-2</v>
      </c>
      <c r="U18" s="12" t="s">
        <v>8</v>
      </c>
      <c r="V18" s="5">
        <v>0</v>
      </c>
      <c r="W18" s="4">
        <v>0.92824506268345197</v>
      </c>
      <c r="X18" s="4">
        <v>2.7065854937069901E-2</v>
      </c>
      <c r="Y18" s="4">
        <v>0.60608246195365401</v>
      </c>
      <c r="Z18" s="4">
        <v>2.4425167427614002E-3</v>
      </c>
      <c r="AA18" s="4">
        <v>0.682038516621988</v>
      </c>
      <c r="AB18" s="4">
        <v>7.7233959455626298E-4</v>
      </c>
      <c r="AC18" s="4">
        <v>0.24651273877889099</v>
      </c>
    </row>
    <row r="19" spans="1:29" x14ac:dyDescent="0.2">
      <c r="A19" s="12"/>
      <c r="B19" s="7">
        <v>0.5</v>
      </c>
      <c r="C19" s="11">
        <v>0.93933542670334302</v>
      </c>
      <c r="D19" s="11">
        <v>2.42894373639009E-2</v>
      </c>
      <c r="E19" s="11">
        <v>0.63003113135660105</v>
      </c>
      <c r="F19" s="11">
        <v>1.06403316860982E-4</v>
      </c>
      <c r="G19" s="11">
        <v>0.67850966239534405</v>
      </c>
      <c r="H19" s="11">
        <v>5.6396845143283705E-4</v>
      </c>
      <c r="I19" s="11">
        <v>0.18400288481664101</v>
      </c>
      <c r="K19" s="12"/>
      <c r="L19" s="7">
        <v>0.5</v>
      </c>
      <c r="M19" s="11">
        <v>0.95835816920790795</v>
      </c>
      <c r="N19" s="11">
        <v>3.2984552830413003E-2</v>
      </c>
      <c r="O19" s="11">
        <v>0.82342601883579303</v>
      </c>
      <c r="P19" s="11">
        <v>2.7976293249245702E-3</v>
      </c>
      <c r="Q19" s="11">
        <v>7.9209097480927998E-2</v>
      </c>
      <c r="R19" s="11">
        <v>2.54384062597173E-5</v>
      </c>
      <c r="S19" s="11">
        <v>3.9973829435990503E-2</v>
      </c>
      <c r="U19" s="12"/>
      <c r="V19" s="7">
        <v>0.5</v>
      </c>
      <c r="W19" s="11">
        <v>0.93970722578143695</v>
      </c>
      <c r="X19" s="11">
        <v>2.4505204299938702E-2</v>
      </c>
      <c r="Y19" s="11">
        <v>0.62784426703959495</v>
      </c>
      <c r="Z19" s="11">
        <v>1.18808997260025E-4</v>
      </c>
      <c r="AA19" s="11">
        <v>0.67603131644803705</v>
      </c>
      <c r="AB19" s="11">
        <v>6.2081220557635498E-4</v>
      </c>
      <c r="AC19" s="11">
        <v>0.18062713171456601</v>
      </c>
    </row>
    <row r="20" spans="1:29" x14ac:dyDescent="0.2">
      <c r="A20" s="12"/>
      <c r="B20" s="5">
        <v>1</v>
      </c>
      <c r="C20" s="4">
        <v>0.92559225169315695</v>
      </c>
      <c r="D20" s="4">
        <v>2.36097508063552E-2</v>
      </c>
      <c r="E20" s="4">
        <v>0.60237743710549996</v>
      </c>
      <c r="F20" s="4">
        <v>1.4861693272984399E-3</v>
      </c>
      <c r="G20" s="4">
        <v>0.59821540985196398</v>
      </c>
      <c r="H20" s="4">
        <v>9.6580185801267205E-4</v>
      </c>
      <c r="I20" s="4">
        <v>0.27923909196614199</v>
      </c>
      <c r="K20" s="12"/>
      <c r="L20" s="5">
        <v>1</v>
      </c>
      <c r="M20" s="4">
        <v>0.94971390960771096</v>
      </c>
      <c r="N20" s="4">
        <v>3.2631572894650698E-2</v>
      </c>
      <c r="O20" s="4">
        <v>0.79279700862123403</v>
      </c>
      <c r="P20" s="4">
        <v>3.1054044707231301E-2</v>
      </c>
      <c r="Q20" s="4">
        <v>0.12651021290014799</v>
      </c>
      <c r="R20" s="4">
        <v>7.4574383018794396E-5</v>
      </c>
      <c r="S20" s="4">
        <v>4.1678811158526403E-2</v>
      </c>
      <c r="U20" s="12"/>
      <c r="V20" s="5">
        <v>1</v>
      </c>
      <c r="W20" s="4">
        <v>0.92594645048404001</v>
      </c>
      <c r="X20" s="4">
        <v>2.3943569866710201E-2</v>
      </c>
      <c r="Y20" s="4">
        <v>0.59994707479221598</v>
      </c>
      <c r="Z20" s="4">
        <v>1.59556026667219E-3</v>
      </c>
      <c r="AA20" s="4">
        <v>0.59789346306554203</v>
      </c>
      <c r="AB20" s="4">
        <v>8.6564896693274601E-4</v>
      </c>
      <c r="AC20" s="4">
        <v>0.274799156784302</v>
      </c>
    </row>
    <row r="21" spans="1:29" x14ac:dyDescent="0.2">
      <c r="A21" s="12"/>
      <c r="B21" s="7">
        <v>1.5</v>
      </c>
      <c r="C21" s="11">
        <v>0.89859355302542199</v>
      </c>
      <c r="D21" s="11">
        <v>2.4390908199369898E-2</v>
      </c>
      <c r="E21" s="11">
        <v>0.50912322345306205</v>
      </c>
      <c r="F21" s="11">
        <v>2.43475208196887E-2</v>
      </c>
      <c r="G21" s="11">
        <v>0.70003607718267602</v>
      </c>
      <c r="H21" s="11">
        <v>8.1149133648917399E-4</v>
      </c>
      <c r="I21" s="11">
        <v>0.209353811184638</v>
      </c>
      <c r="K21" s="12"/>
      <c r="L21" s="7">
        <v>1.5</v>
      </c>
      <c r="M21" s="11">
        <v>0.94106581384351795</v>
      </c>
      <c r="N21" s="11">
        <v>3.6044823894113898E-2</v>
      </c>
      <c r="O21" s="11">
        <v>0.75871535099396603</v>
      </c>
      <c r="P21" s="11">
        <v>0.254377583791491</v>
      </c>
      <c r="Q21" s="11">
        <v>0.138212054890053</v>
      </c>
      <c r="R21" s="11">
        <v>4.3493853520905698E-5</v>
      </c>
      <c r="S21" s="11">
        <v>6.5759896618660996E-2</v>
      </c>
      <c r="U21" s="12"/>
      <c r="V21" s="7">
        <v>1.5</v>
      </c>
      <c r="W21" s="11">
        <v>0.89876678982603897</v>
      </c>
      <c r="X21" s="11">
        <v>2.4652623061207201E-2</v>
      </c>
      <c r="Y21" s="11">
        <v>0.50717226095841605</v>
      </c>
      <c r="Z21" s="11">
        <v>2.5703641939036601E-2</v>
      </c>
      <c r="AA21" s="11">
        <v>0.69951637537677103</v>
      </c>
      <c r="AB21" s="11">
        <v>8.0739369825183504E-4</v>
      </c>
      <c r="AC21" s="11">
        <v>0.20610451158920601</v>
      </c>
    </row>
    <row r="22" spans="1:29" x14ac:dyDescent="0.2">
      <c r="B22" s="1" t="s">
        <v>13</v>
      </c>
      <c r="C22" s="14">
        <f t="shared" ref="C22:I22" si="20">AVERAGE(C18:C21)</f>
        <v>0.92295158060746996</v>
      </c>
      <c r="D22" s="14">
        <f t="shared" si="20"/>
        <v>2.4777611168569101E-2</v>
      </c>
      <c r="E22" s="14">
        <f t="shared" si="20"/>
        <v>0.58750819310499947</v>
      </c>
      <c r="F22" s="14">
        <f t="shared" ref="F22" si="21">AVERAGE(F18:F21)</f>
        <v>7.0542024279367978E-3</v>
      </c>
      <c r="G22" s="14">
        <f t="shared" si="20"/>
        <v>0.66497579375516958</v>
      </c>
      <c r="H22" s="14">
        <f t="shared" si="20"/>
        <v>7.7485682680579883E-4</v>
      </c>
      <c r="I22" s="14">
        <f t="shared" si="20"/>
        <v>0.23102450848901726</v>
      </c>
      <c r="L22" s="1" t="s">
        <v>13</v>
      </c>
      <c r="M22" s="14">
        <f t="shared" ref="M22:S22" si="22">AVERAGE(M18:M21)</f>
        <v>0.95031053239881969</v>
      </c>
      <c r="N22" s="14">
        <f t="shared" si="22"/>
        <v>3.4630708761829679E-2</v>
      </c>
      <c r="O22" s="14">
        <f t="shared" ref="O22:P22" si="23">AVERAGE(O18:O21)</f>
        <v>0.79637887608683622</v>
      </c>
      <c r="P22" s="14">
        <f t="shared" si="23"/>
        <v>8.5599464518052823E-2</v>
      </c>
      <c r="Q22" s="14">
        <f t="shared" si="22"/>
        <v>0.12282378005753801</v>
      </c>
      <c r="R22" s="14">
        <f t="shared" si="22"/>
        <v>3.6149830059286133E-5</v>
      </c>
      <c r="S22" s="14">
        <f t="shared" si="22"/>
        <v>5.1809067479182326E-2</v>
      </c>
      <c r="V22" s="1" t="s">
        <v>13</v>
      </c>
      <c r="W22" s="14">
        <f t="shared" ref="W22:AC22" si="24">AVERAGE(W18:W21)</f>
        <v>0.92316638219374203</v>
      </c>
      <c r="X22" s="14">
        <f t="shared" si="24"/>
        <v>2.5041813041231504E-2</v>
      </c>
      <c r="Y22" s="14">
        <f t="shared" si="24"/>
        <v>0.58526151618597022</v>
      </c>
      <c r="Z22" s="14">
        <f t="shared" si="24"/>
        <v>7.4651319864325544E-3</v>
      </c>
      <c r="AA22" s="14">
        <f t="shared" si="24"/>
        <v>0.66386991787808447</v>
      </c>
      <c r="AB22" s="14">
        <f t="shared" si="24"/>
        <v>7.665486163292998E-4</v>
      </c>
      <c r="AC22" s="14">
        <f t="shared" si="24"/>
        <v>0.22701088471674125</v>
      </c>
    </row>
    <row r="23" spans="1:29" x14ac:dyDescent="0.2">
      <c r="B23" s="1" t="s">
        <v>14</v>
      </c>
      <c r="C23" s="14">
        <f>STDEV(C18:C21)</f>
        <v>1.7293191314849535E-2</v>
      </c>
      <c r="D23" s="14">
        <f t="shared" ref="D23:I23" si="25">STDEV(D18:D21)</f>
        <v>1.4052906796232249E-3</v>
      </c>
      <c r="E23" s="14">
        <f t="shared" si="25"/>
        <v>5.3585431119679623E-2</v>
      </c>
      <c r="F23" s="14">
        <f t="shared" ref="F23" si="26">STDEV(F18:F21)</f>
        <v>1.1563709616679047E-2</v>
      </c>
      <c r="G23" s="14">
        <f t="shared" si="25"/>
        <v>4.5458222257335715E-2</v>
      </c>
      <c r="H23" s="14">
        <f t="shared" si="25"/>
        <v>1.6588609959457902E-4</v>
      </c>
      <c r="I23" s="14">
        <f t="shared" si="25"/>
        <v>4.2523076117252659E-2</v>
      </c>
      <c r="L23" s="1" t="s">
        <v>14</v>
      </c>
      <c r="M23" s="14">
        <f>STDEV(M18:M21)</f>
        <v>7.1601353362398933E-3</v>
      </c>
      <c r="N23" s="14">
        <f t="shared" ref="N23:S23" si="27">STDEV(N18:N21)</f>
        <v>2.1357469021107919E-3</v>
      </c>
      <c r="O23" s="14">
        <f t="shared" ref="O23:P23" si="28">STDEV(O18:O21)</f>
        <v>2.8074360339986754E-2</v>
      </c>
      <c r="P23" s="14">
        <f t="shared" si="28"/>
        <v>0.11446294816503529</v>
      </c>
      <c r="Q23" s="14">
        <f t="shared" si="27"/>
        <v>3.0303133467503744E-2</v>
      </c>
      <c r="R23" s="14">
        <f t="shared" si="27"/>
        <v>3.0952218555315892E-5</v>
      </c>
      <c r="S23" s="14">
        <f t="shared" si="27"/>
        <v>1.2930009602971951E-2</v>
      </c>
      <c r="V23" s="1" t="s">
        <v>14</v>
      </c>
      <c r="W23" s="14">
        <f>STDEV(W18:W21)</f>
        <v>1.7344176635765891E-2</v>
      </c>
      <c r="X23" s="14">
        <f t="shared" ref="X23:AC23" si="29">STDEV(X18:X21)</f>
        <v>1.3835102033444837E-3</v>
      </c>
      <c r="Y23" s="14">
        <f t="shared" si="29"/>
        <v>5.3417849284342782E-2</v>
      </c>
      <c r="Z23" s="14">
        <f t="shared" si="29"/>
        <v>1.2196860836732406E-2</v>
      </c>
      <c r="AA23" s="14">
        <f t="shared" si="29"/>
        <v>4.5098263519162018E-2</v>
      </c>
      <c r="AB23" s="14">
        <f t="shared" si="29"/>
        <v>1.0450173372558751E-4</v>
      </c>
      <c r="AC23" s="14">
        <f t="shared" si="29"/>
        <v>4.1843240150905799E-2</v>
      </c>
    </row>
  </sheetData>
  <mergeCells count="11">
    <mergeCell ref="U2:AC2"/>
    <mergeCell ref="U4:U7"/>
    <mergeCell ref="U18:U21"/>
    <mergeCell ref="A2:I2"/>
    <mergeCell ref="K2:S2"/>
    <mergeCell ref="K18:K21"/>
    <mergeCell ref="A4:A7"/>
    <mergeCell ref="K4:K7"/>
    <mergeCell ref="A11:A14"/>
    <mergeCell ref="K11:K14"/>
    <mergeCell ref="A18:A2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Khoshnevis, Arman</dc:creator>
  <cp:lastModifiedBy>Khoshnevis, Arman</cp:lastModifiedBy>
  <dcterms:created xsi:type="dcterms:W3CDTF">2024-02-11T15:59:46Z</dcterms:created>
  <dcterms:modified xsi:type="dcterms:W3CDTF">2026-04-04T21:40:15Z</dcterms:modified>
</cp:coreProperties>
</file>